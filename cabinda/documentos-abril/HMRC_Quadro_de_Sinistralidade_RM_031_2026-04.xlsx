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LUZ\Documents\6.8. HSE Management on site\4. Acompanhamento SSA\2. Monitorização\1. Relatório Mensal\04. Abril 2026\"/>
    </mc:Choice>
  </mc:AlternateContent>
  <xr:revisionPtr revIDLastSave="0" documentId="13_ncr:1_{B685EA58-222B-458C-AB9E-E4906659376E}" xr6:coauthVersionLast="47" xr6:coauthVersionMax="47" xr10:uidLastSave="{00000000-0000-0000-0000-000000000000}"/>
  <bookViews>
    <workbookView xWindow="-110" yWindow="-110" windowWidth="19420" windowHeight="10300" tabRatio="311" xr2:uid="{55B3E476-E206-4B3E-8ED1-3B2BF4E98154}"/>
  </bookViews>
  <sheets>
    <sheet name="Quadro de sinistralidade" sheetId="1" r:id="rId1"/>
  </sheets>
  <definedNames>
    <definedName name="_xlnm.Print_Area" localSheetId="0">'Quadro de sinistralidade'!$A$1:$S$53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" i="1" l="1"/>
  <c r="K42" i="1" s="1"/>
  <c r="C11" i="1"/>
  <c r="K11" i="1"/>
  <c r="C12" i="1"/>
  <c r="C13" i="1"/>
  <c r="C14" i="1"/>
  <c r="C15" i="1"/>
  <c r="C16" i="1"/>
  <c r="K16" i="1"/>
  <c r="I16" i="1"/>
  <c r="C17" i="1"/>
  <c r="G17" i="1"/>
  <c r="C18" i="1"/>
  <c r="C19" i="1"/>
  <c r="K19" i="1"/>
  <c r="C20" i="1"/>
  <c r="I20" i="1"/>
  <c r="G20" i="1"/>
  <c r="C21" i="1"/>
  <c r="K21" i="1"/>
  <c r="G21" i="1"/>
  <c r="C22" i="1"/>
  <c r="I22" i="1"/>
  <c r="C23" i="1"/>
  <c r="I23" i="1"/>
  <c r="C24" i="1"/>
  <c r="G24" i="1"/>
  <c r="C25" i="1"/>
  <c r="I25" i="1" s="1"/>
  <c r="C26" i="1"/>
  <c r="C27" i="1"/>
  <c r="I27" i="1" s="1"/>
  <c r="C28" i="1"/>
  <c r="K28" i="1" s="1"/>
  <c r="C29" i="1"/>
  <c r="G29" i="1"/>
  <c r="C30" i="1"/>
  <c r="G30" i="1" s="1"/>
  <c r="C31" i="1"/>
  <c r="C32" i="1"/>
  <c r="C33" i="1"/>
  <c r="C34" i="1"/>
  <c r="K34" i="1" s="1"/>
  <c r="C35" i="1"/>
  <c r="C36" i="1"/>
  <c r="C37" i="1"/>
  <c r="K37" i="1" s="1"/>
  <c r="C38" i="1"/>
  <c r="K38" i="1" s="1"/>
  <c r="C39" i="1"/>
  <c r="S39" i="1" s="1"/>
  <c r="C40" i="1"/>
  <c r="G40" i="1" s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D8" i="1"/>
  <c r="N8" i="1"/>
  <c r="D9" i="1"/>
  <c r="P9" i="1"/>
  <c r="D10" i="1"/>
  <c r="N10" i="1"/>
  <c r="D11" i="1"/>
  <c r="N11" i="1"/>
  <c r="D12" i="1"/>
  <c r="E12" i="1"/>
  <c r="D13" i="1"/>
  <c r="N13" i="1"/>
  <c r="D14" i="1"/>
  <c r="N14" i="1"/>
  <c r="D15" i="1"/>
  <c r="N15" i="1"/>
  <c r="D16" i="1"/>
  <c r="P16" i="1"/>
  <c r="D17" i="1"/>
  <c r="N17" i="1"/>
  <c r="D18" i="1"/>
  <c r="E18" i="1"/>
  <c r="P18" i="1"/>
  <c r="D19" i="1"/>
  <c r="E19" i="1"/>
  <c r="D20" i="1"/>
  <c r="E20" i="1"/>
  <c r="P20" i="1"/>
  <c r="D21" i="1"/>
  <c r="E21" i="1"/>
  <c r="D22" i="1"/>
  <c r="N22" i="1"/>
  <c r="D23" i="1"/>
  <c r="N23" i="1"/>
  <c r="D24" i="1"/>
  <c r="P24" i="1"/>
  <c r="D25" i="1"/>
  <c r="P25" i="1"/>
  <c r="D26" i="1"/>
  <c r="P26" i="1"/>
  <c r="D27" i="1"/>
  <c r="P27" i="1"/>
  <c r="D28" i="1"/>
  <c r="P28" i="1" s="1"/>
  <c r="D29" i="1"/>
  <c r="N29" i="1" s="1"/>
  <c r="D30" i="1"/>
  <c r="N30" i="1" s="1"/>
  <c r="D31" i="1"/>
  <c r="N31" i="1" s="1"/>
  <c r="D32" i="1"/>
  <c r="N32" i="1" s="1"/>
  <c r="D33" i="1"/>
  <c r="P33" i="1"/>
  <c r="D34" i="1"/>
  <c r="P34" i="1"/>
  <c r="D35" i="1"/>
  <c r="P35" i="1" s="1"/>
  <c r="D36" i="1"/>
  <c r="N36" i="1" s="1"/>
  <c r="P36" i="1"/>
  <c r="D37" i="1"/>
  <c r="P37" i="1" s="1"/>
  <c r="D38" i="1"/>
  <c r="N38" i="1"/>
  <c r="D39" i="1"/>
  <c r="N39" i="1"/>
  <c r="D40" i="1"/>
  <c r="N40" i="1"/>
  <c r="D41" i="1"/>
  <c r="N41" i="1"/>
  <c r="D42" i="1"/>
  <c r="D7" i="1"/>
  <c r="P7" i="1"/>
  <c r="R39" i="1"/>
  <c r="L40" i="1"/>
  <c r="R40" i="1"/>
  <c r="C41" i="1"/>
  <c r="K41" i="1" s="1"/>
  <c r="L41" i="1"/>
  <c r="R41" i="1"/>
  <c r="N42" i="1"/>
  <c r="L42" i="1"/>
  <c r="R42" i="1"/>
  <c r="P42" i="1"/>
  <c r="C7" i="1"/>
  <c r="G7" i="1"/>
  <c r="S7" i="1"/>
  <c r="C8" i="1"/>
  <c r="I8" i="1"/>
  <c r="I9" i="1"/>
  <c r="I10" i="1"/>
  <c r="C9" i="1"/>
  <c r="C10" i="1"/>
  <c r="R10" i="1"/>
  <c r="R9" i="1"/>
  <c r="L11" i="1"/>
  <c r="L10" i="1"/>
  <c r="L9" i="1"/>
  <c r="L7" i="1"/>
  <c r="L8" i="1"/>
  <c r="R8" i="1"/>
  <c r="R7" i="1"/>
  <c r="P41" i="1"/>
  <c r="P11" i="1"/>
  <c r="N9" i="1"/>
  <c r="G8" i="1"/>
  <c r="G9" i="1"/>
  <c r="K13" i="1"/>
  <c r="G16" i="1"/>
  <c r="M16" i="1"/>
  <c r="E7" i="1"/>
  <c r="N7" i="1"/>
  <c r="K7" i="1"/>
  <c r="K8" i="1"/>
  <c r="I7" i="1"/>
  <c r="M7" i="1"/>
  <c r="P8" i="1"/>
  <c r="O7" i="1"/>
  <c r="E8" i="1"/>
  <c r="G11" i="1"/>
  <c r="I11" i="1"/>
  <c r="N28" i="1"/>
  <c r="P32" i="1"/>
  <c r="E9" i="1"/>
  <c r="N27" i="1"/>
  <c r="N19" i="1"/>
  <c r="P39" i="1"/>
  <c r="P31" i="1"/>
  <c r="P23" i="1"/>
  <c r="P15" i="1"/>
  <c r="N34" i="1"/>
  <c r="N26" i="1"/>
  <c r="N18" i="1"/>
  <c r="P38" i="1"/>
  <c r="P22" i="1"/>
  <c r="P14" i="1"/>
  <c r="P40" i="1"/>
  <c r="N33" i="1"/>
  <c r="N25" i="1"/>
  <c r="P29" i="1"/>
  <c r="P13" i="1"/>
  <c r="P10" i="1"/>
  <c r="E10" i="1"/>
  <c r="E11" i="1"/>
  <c r="Q8" i="1"/>
  <c r="K9" i="1"/>
  <c r="Q7" i="1"/>
  <c r="O11" i="1"/>
  <c r="S8" i="1"/>
  <c r="O8" i="1"/>
  <c r="M8" i="1"/>
  <c r="S9" i="1"/>
  <c r="O9" i="1"/>
  <c r="M9" i="1"/>
  <c r="G10" i="1"/>
  <c r="K10" i="1"/>
  <c r="Q9" i="1"/>
  <c r="O10" i="1"/>
  <c r="S10" i="1"/>
  <c r="M10" i="1"/>
  <c r="Q10" i="1"/>
  <c r="S11" i="1"/>
  <c r="M11" i="1"/>
  <c r="Q11" i="1"/>
  <c r="I19" i="1"/>
  <c r="G23" i="1"/>
  <c r="S23" i="1"/>
  <c r="E13" i="1"/>
  <c r="Q13" i="1"/>
  <c r="P12" i="1"/>
  <c r="I12" i="1"/>
  <c r="K12" i="1"/>
  <c r="Q12" i="1"/>
  <c r="S12" i="1"/>
  <c r="G13" i="1"/>
  <c r="G12" i="1"/>
  <c r="N12" i="1"/>
  <c r="G15" i="1"/>
  <c r="I13" i="1"/>
  <c r="O12" i="1"/>
  <c r="M12" i="1"/>
  <c r="E14" i="1"/>
  <c r="E15" i="1"/>
  <c r="E16" i="1"/>
  <c r="S13" i="1"/>
  <c r="M13" i="1"/>
  <c r="I15" i="1"/>
  <c r="I14" i="1"/>
  <c r="K14" i="1"/>
  <c r="Q14" i="1"/>
  <c r="I21" i="1"/>
  <c r="K15" i="1"/>
  <c r="Q15" i="1"/>
  <c r="O13" i="1"/>
  <c r="G14" i="1"/>
  <c r="S14" i="1"/>
  <c r="O14" i="1"/>
  <c r="M14" i="1"/>
  <c r="M15" i="1"/>
  <c r="O16" i="1"/>
  <c r="S15" i="1"/>
  <c r="O15" i="1"/>
  <c r="Q16" i="1"/>
  <c r="S16" i="1"/>
  <c r="N16" i="1"/>
  <c r="E17" i="1"/>
  <c r="P17" i="1"/>
  <c r="K17" i="1"/>
  <c r="Q17" i="1"/>
  <c r="I17" i="1"/>
  <c r="M17" i="1"/>
  <c r="O17" i="1"/>
  <c r="S17" i="1"/>
  <c r="K18" i="1"/>
  <c r="K33" i="1"/>
  <c r="K20" i="1"/>
  <c r="I18" i="1"/>
  <c r="G18" i="1"/>
  <c r="M18" i="1"/>
  <c r="S18" i="1"/>
  <c r="O18" i="1"/>
  <c r="Q18" i="1"/>
  <c r="K27" i="1"/>
  <c r="Q19" i="1"/>
  <c r="G25" i="1"/>
  <c r="K25" i="1"/>
  <c r="G19" i="1"/>
  <c r="O19" i="1"/>
  <c r="P19" i="1"/>
  <c r="S19" i="1"/>
  <c r="M19" i="1"/>
  <c r="O20" i="1"/>
  <c r="Q20" i="1"/>
  <c r="S20" i="1"/>
  <c r="N20" i="1"/>
  <c r="M20" i="1"/>
  <c r="K23" i="1"/>
  <c r="M21" i="1"/>
  <c r="Q21" i="1"/>
  <c r="O21" i="1"/>
  <c r="S21" i="1"/>
  <c r="I26" i="1"/>
  <c r="P21" i="1"/>
  <c r="N21" i="1"/>
  <c r="I24" i="1"/>
  <c r="K24" i="1"/>
  <c r="K22" i="1"/>
  <c r="K26" i="1"/>
  <c r="E22" i="1"/>
  <c r="I29" i="1"/>
  <c r="S29" i="1" s="1"/>
  <c r="G22" i="1"/>
  <c r="M22" i="1"/>
  <c r="G26" i="1"/>
  <c r="S22" i="1"/>
  <c r="E23" i="1"/>
  <c r="O23" i="1"/>
  <c r="O22" i="1"/>
  <c r="Q22" i="1"/>
  <c r="M23" i="1"/>
  <c r="I33" i="1"/>
  <c r="G27" i="1"/>
  <c r="S27" i="1" s="1"/>
  <c r="K32" i="1"/>
  <c r="Q23" i="1"/>
  <c r="I32" i="1"/>
  <c r="K29" i="1"/>
  <c r="N24" i="1"/>
  <c r="M24" i="1"/>
  <c r="E24" i="1"/>
  <c r="S24" i="1"/>
  <c r="Q24" i="1"/>
  <c r="O24" i="1"/>
  <c r="E25" i="1"/>
  <c r="E26" i="1" s="1"/>
  <c r="N37" i="1" l="1"/>
  <c r="I40" i="1"/>
  <c r="K40" i="1"/>
  <c r="N35" i="1"/>
  <c r="M40" i="1"/>
  <c r="M39" i="1"/>
  <c r="I34" i="1"/>
  <c r="I39" i="1"/>
  <c r="K36" i="1"/>
  <c r="G36" i="1"/>
  <c r="C53" i="1"/>
  <c r="K39" i="1"/>
  <c r="I36" i="1"/>
  <c r="S31" i="1"/>
  <c r="I38" i="1"/>
  <c r="G32" i="1"/>
  <c r="S32" i="1" s="1"/>
  <c r="P30" i="1"/>
  <c r="M29" i="1"/>
  <c r="K31" i="1"/>
  <c r="G39" i="1"/>
  <c r="G34" i="1"/>
  <c r="S34" i="1" s="1"/>
  <c r="G31" i="1"/>
  <c r="G38" i="1"/>
  <c r="I42" i="1"/>
  <c r="M42" i="1"/>
  <c r="I35" i="1"/>
  <c r="S35" i="1" s="1"/>
  <c r="I28" i="1"/>
  <c r="G42" i="1"/>
  <c r="I37" i="1"/>
  <c r="K35" i="1"/>
  <c r="G35" i="1"/>
  <c r="G41" i="1"/>
  <c r="M41" i="1"/>
  <c r="K30" i="1"/>
  <c r="S42" i="1"/>
  <c r="M38" i="1"/>
  <c r="I31" i="1"/>
  <c r="S38" i="1"/>
  <c r="G28" i="1"/>
  <c r="M26" i="1"/>
  <c r="S41" i="1"/>
  <c r="G37" i="1"/>
  <c r="M37" i="1" s="1"/>
  <c r="I41" i="1"/>
  <c r="S26" i="1"/>
  <c r="I30" i="1"/>
  <c r="S30" i="1" s="1"/>
  <c r="M25" i="1"/>
  <c r="S25" i="1"/>
  <c r="O25" i="1"/>
  <c r="E27" i="1"/>
  <c r="Q26" i="1"/>
  <c r="O26" i="1"/>
  <c r="M27" i="1"/>
  <c r="Q25" i="1"/>
  <c r="S40" i="1"/>
  <c r="G33" i="1"/>
  <c r="S33" i="1" s="1"/>
  <c r="S37" i="1" l="1"/>
  <c r="M36" i="1"/>
  <c r="S36" i="1"/>
  <c r="M35" i="1"/>
  <c r="C51" i="1"/>
  <c r="C52" i="1"/>
  <c r="M34" i="1"/>
  <c r="M33" i="1"/>
  <c r="M32" i="1"/>
  <c r="M31" i="1"/>
  <c r="M30" i="1"/>
  <c r="M28" i="1"/>
  <c r="S28" i="1"/>
  <c r="Q27" i="1"/>
  <c r="O27" i="1"/>
  <c r="E28" i="1"/>
  <c r="E29" i="1" l="1"/>
  <c r="O28" i="1"/>
  <c r="Q28" i="1"/>
  <c r="E30" i="1" l="1"/>
  <c r="O29" i="1"/>
  <c r="Q29" i="1"/>
  <c r="E31" i="1" l="1"/>
  <c r="Q30" i="1"/>
  <c r="O30" i="1"/>
  <c r="Q31" i="1" l="1"/>
  <c r="O31" i="1"/>
  <c r="E32" i="1"/>
  <c r="O32" i="1" l="1"/>
  <c r="E33" i="1"/>
  <c r="Q32" i="1"/>
  <c r="E34" i="1" l="1"/>
  <c r="Q33" i="1"/>
  <c r="O33" i="1"/>
  <c r="E35" i="1" l="1"/>
  <c r="Q34" i="1"/>
  <c r="O34" i="1"/>
  <c r="E36" i="1" l="1"/>
  <c r="Q35" i="1"/>
  <c r="O35" i="1"/>
  <c r="E37" i="1" l="1"/>
  <c r="O36" i="1"/>
  <c r="Q36" i="1"/>
  <c r="E38" i="1" l="1"/>
  <c r="Q37" i="1"/>
  <c r="C50" i="1" s="1"/>
  <c r="O37" i="1"/>
  <c r="C49" i="1" s="1"/>
  <c r="E39" i="1" l="1"/>
  <c r="O38" i="1"/>
  <c r="Q38" i="1"/>
  <c r="Q39" i="1" l="1"/>
  <c r="E40" i="1"/>
  <c r="O39" i="1"/>
  <c r="E41" i="1" l="1"/>
  <c r="Q40" i="1"/>
  <c r="O40" i="1"/>
  <c r="O41" i="1" l="1"/>
  <c r="E42" i="1"/>
  <c r="Q41" i="1"/>
  <c r="O42" i="1" l="1"/>
  <c r="Q42" i="1"/>
</calcChain>
</file>

<file path=xl/sharedStrings.xml><?xml version="1.0" encoding="utf-8"?>
<sst xmlns="http://schemas.openxmlformats.org/spreadsheetml/2006/main" count="93" uniqueCount="72">
  <si>
    <t>&lt;20</t>
  </si>
  <si>
    <t>20-50</t>
  </si>
  <si>
    <t>50-80</t>
  </si>
  <si>
    <t>&gt;80</t>
  </si>
  <si>
    <t>&gt;2</t>
  </si>
  <si>
    <t xml:space="preserve"> 1-2</t>
  </si>
  <si>
    <t>FREQ.</t>
  </si>
  <si>
    <t>&lt;0.5</t>
  </si>
  <si>
    <t>0.5-1</t>
  </si>
  <si>
    <t>ITEM</t>
  </si>
  <si>
    <t>Quadro de sinistralidade</t>
  </si>
  <si>
    <t>Ano / Mês</t>
  </si>
  <si>
    <t>Número dos trabalhadores</t>
  </si>
  <si>
    <t>Mês</t>
  </si>
  <si>
    <t>Acum.</t>
  </si>
  <si>
    <t>Não mortais</t>
  </si>
  <si>
    <t>Mortais</t>
  </si>
  <si>
    <t>Homens x Horas trabalhadas</t>
  </si>
  <si>
    <t>Número de acidentes</t>
  </si>
  <si>
    <t>Número de dias perdidos</t>
  </si>
  <si>
    <t>Índice de Frequência</t>
  </si>
  <si>
    <t>Índice de Gravidade</t>
  </si>
  <si>
    <t>Índice de Incidência</t>
  </si>
  <si>
    <t>Índice de Duração</t>
  </si>
  <si>
    <t>ACIDENTES</t>
  </si>
  <si>
    <t>CLASSIFICAÇÃO</t>
  </si>
  <si>
    <t>ACUMULADO</t>
  </si>
  <si>
    <t>ÍNDICE DE FREQUÊNCIA</t>
  </si>
  <si>
    <t>ÍNDICE DE GRAVIDADE</t>
  </si>
  <si>
    <t>ACIDENTES MORTAIS</t>
  </si>
  <si>
    <t>DIAS PERDIDOS</t>
  </si>
  <si>
    <t>Classificação</t>
  </si>
  <si>
    <t>GRAVIDADE</t>
  </si>
  <si>
    <t>Muito Bom</t>
  </si>
  <si>
    <t>Bom</t>
  </si>
  <si>
    <t>Médio</t>
  </si>
  <si>
    <t>Mau</t>
  </si>
  <si>
    <t>Fonte: OIT</t>
  </si>
  <si>
    <t>ACIDENTES NÃO MORTAIS</t>
  </si>
  <si>
    <t>PROJECTO:</t>
  </si>
  <si>
    <t>2023 / Outubro</t>
  </si>
  <si>
    <t>2023 / Novembro</t>
  </si>
  <si>
    <t>2023 / Dezembro</t>
  </si>
  <si>
    <t>2024 / Janeiro</t>
  </si>
  <si>
    <t>2024 / Fevereiro</t>
  </si>
  <si>
    <t>HOSPITAL MILITAR REGIONAL DE CABINDA</t>
  </si>
  <si>
    <t>2024 / Março</t>
  </si>
  <si>
    <t>2024 / Abril</t>
  </si>
  <si>
    <t>2024 / Maio</t>
  </si>
  <si>
    <t>2024 / Junho</t>
  </si>
  <si>
    <t>2024 / Julho</t>
  </si>
  <si>
    <t>2024 / Agosto</t>
  </si>
  <si>
    <t>2024 / Setembro</t>
  </si>
  <si>
    <t>2024 / Outubro</t>
  </si>
  <si>
    <t>2024 / Novembro</t>
  </si>
  <si>
    <t>2024 / Dezembro</t>
  </si>
  <si>
    <t>2025 / Janeiro</t>
  </si>
  <si>
    <t>2025 / Fevereiro</t>
  </si>
  <si>
    <t>2025 / Março</t>
  </si>
  <si>
    <t>2025 / Abril</t>
  </si>
  <si>
    <t>2025 / Maio</t>
  </si>
  <si>
    <t>2025 / Junho</t>
  </si>
  <si>
    <t>2025 / Julho</t>
  </si>
  <si>
    <t>2025 / Agosto</t>
  </si>
  <si>
    <t>2025 / Setembro</t>
  </si>
  <si>
    <t>2025 / Outubro</t>
  </si>
  <si>
    <t>2025 / Novembro</t>
  </si>
  <si>
    <t>2025 / Dezembro</t>
  </si>
  <si>
    <t>2026 / Janeiro</t>
  </si>
  <si>
    <t>2026 / Fevereiro</t>
  </si>
  <si>
    <t>2026 / Março</t>
  </si>
  <si>
    <t>2026 / 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</si>
</sst>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-1]_-;\-* #,##0.00\ [$€-1]_-;_-* &quot;-&quot;??\ [$€-1]_-"/>
    <numFmt numFmtId="165" formatCode="[$-816]mmm/yy;@"/>
  </numFmts>
  <fonts count="13" x14ac:knownFonts="1">
    <font>
      <sz val="10"/>
      <name val="Arial"/>
    </font>
    <font>
      <sz val="10"/>
      <name val="Arial"/>
      <family val="2"/>
    </font>
    <font>
      <sz val="9"/>
      <name val="Arial"/>
      <family val="2"/>
    </font>
    <font>
      <b/>
      <sz val="10"/>
      <color indexed="8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6"/>
      <name val="Arial"/>
      <family val="2"/>
    </font>
    <font>
      <b/>
      <sz val="9"/>
      <name val="Arial"/>
      <family val="2"/>
    </font>
    <font>
      <sz val="6"/>
      <name val="Arial"/>
      <family val="2"/>
    </font>
    <font>
      <b/>
      <sz val="18"/>
      <name val="Arial"/>
      <family val="2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94D6F1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3">
    <xf numFmtId="0" fontId="0" fillId="0" borderId="0" xfId="0"/>
    <xf numFmtId="0" fontId="3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17" fontId="2" fillId="0" borderId="0" xfId="0" applyNumberFormat="1" applyFont="1" applyBorder="1" applyAlignment="1">
      <alignment horizontal="center" vertical="center"/>
    </xf>
    <xf numFmtId="4" fontId="2" fillId="0" borderId="0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0" fillId="0" borderId="3" xfId="0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top"/>
    </xf>
    <xf numFmtId="4" fontId="2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5" fillId="0" borderId="0" xfId="0" applyFont="1" applyBorder="1" applyAlignment="1">
      <alignment horizontal="center" vertical="top"/>
    </xf>
    <xf numFmtId="4" fontId="5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center"/>
    </xf>
    <xf numFmtId="2" fontId="5" fillId="0" borderId="2" xfId="0" applyNumberFormat="1" applyFont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4" fontId="0" fillId="0" borderId="0" xfId="0" applyNumberForma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4" fontId="5" fillId="0" borderId="0" xfId="0" applyNumberFormat="1" applyFont="1" applyBorder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4" fontId="0" fillId="0" borderId="0" xfId="0" applyNumberFormat="1" applyBorder="1" applyAlignment="1">
      <alignment horizontal="center"/>
    </xf>
    <xf numFmtId="2" fontId="5" fillId="0" borderId="7" xfId="0" applyNumberFormat="1" applyFont="1" applyBorder="1" applyAlignment="1">
      <alignment horizontal="center"/>
    </xf>
    <xf numFmtId="0" fontId="5" fillId="0" borderId="8" xfId="0" applyFont="1" applyFill="1" applyBorder="1" applyAlignment="1">
      <alignment horizontal="center"/>
    </xf>
    <xf numFmtId="0" fontId="5" fillId="0" borderId="8" xfId="0" applyFont="1" applyBorder="1" applyAlignment="1">
      <alignment horizontal="center"/>
    </xf>
    <xf numFmtId="2" fontId="5" fillId="0" borderId="8" xfId="0" applyNumberFormat="1" applyFont="1" applyBorder="1" applyAlignment="1">
      <alignment horizontal="center"/>
    </xf>
    <xf numFmtId="2" fontId="5" fillId="0" borderId="9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/>
    </xf>
    <xf numFmtId="0" fontId="6" fillId="0" borderId="7" xfId="0" applyFont="1" applyBorder="1" applyAlignment="1">
      <alignment horizontal="center" vertical="center"/>
    </xf>
    <xf numFmtId="0" fontId="5" fillId="3" borderId="2" xfId="0" applyFont="1" applyFill="1" applyBorder="1" applyAlignment="1" applyProtection="1">
      <alignment horizontal="center"/>
      <protection locked="0"/>
    </xf>
    <xf numFmtId="0" fontId="5" fillId="3" borderId="8" xfId="0" applyFont="1" applyFill="1" applyBorder="1" applyAlignment="1" applyProtection="1">
      <alignment horizontal="center"/>
      <protection locked="0"/>
    </xf>
    <xf numFmtId="17" fontId="9" fillId="3" borderId="3" xfId="0" applyNumberFormat="1" applyFont="1" applyFill="1" applyBorder="1" applyAlignment="1" applyProtection="1">
      <alignment horizontal="center"/>
      <protection locked="0"/>
    </xf>
    <xf numFmtId="165" fontId="9" fillId="3" borderId="3" xfId="0" applyNumberFormat="1" applyFont="1" applyFill="1" applyBorder="1" applyAlignment="1" applyProtection="1">
      <alignment horizontal="center"/>
      <protection locked="0"/>
    </xf>
    <xf numFmtId="17" fontId="9" fillId="3" borderId="10" xfId="0" applyNumberFormat="1" applyFont="1" applyFill="1" applyBorder="1" applyAlignment="1" applyProtection="1">
      <alignment horizontal="center"/>
      <protection locked="0"/>
    </xf>
    <xf numFmtId="0" fontId="3" fillId="0" borderId="11" xfId="0" applyFont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1" fontId="0" fillId="3" borderId="11" xfId="0" applyNumberFormat="1" applyFill="1" applyBorder="1" applyAlignment="1">
      <alignment horizontal="center" vertical="center"/>
    </xf>
    <xf numFmtId="1" fontId="0" fillId="3" borderId="24" xfId="0" applyNumberForma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7" fillId="0" borderId="17" xfId="0" applyFont="1" applyFill="1" applyBorder="1" applyAlignment="1">
      <alignment horizontal="center" vertical="center"/>
    </xf>
    <xf numFmtId="0" fontId="7" fillId="0" borderId="18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4" fontId="9" fillId="0" borderId="14" xfId="0" applyNumberFormat="1" applyFont="1" applyBorder="1" applyAlignment="1">
      <alignment horizontal="center" vertical="center" wrapText="1"/>
    </xf>
    <xf numFmtId="4" fontId="9" fillId="0" borderId="15" xfId="0" applyNumberFormat="1" applyFont="1" applyBorder="1" applyAlignment="1">
      <alignment horizontal="center" vertical="center" wrapText="1"/>
    </xf>
    <xf numFmtId="49" fontId="2" fillId="3" borderId="6" xfId="0" applyNumberFormat="1" applyFont="1" applyFill="1" applyBorder="1" applyAlignment="1">
      <alignment horizontal="center" vertical="top" wrapText="1"/>
    </xf>
    <xf numFmtId="0" fontId="8" fillId="0" borderId="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6" fillId="0" borderId="22" xfId="0" applyFont="1" applyFill="1" applyBorder="1" applyAlignment="1">
      <alignment horizontal="center" vertical="center"/>
    </xf>
    <xf numFmtId="0" fontId="6" fillId="0" borderId="27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4" fontId="9" fillId="0" borderId="16" xfId="0" applyNumberFormat="1" applyFont="1" applyBorder="1" applyAlignment="1">
      <alignment horizontal="center" vertical="center" wrapText="1"/>
    </xf>
    <xf numFmtId="17" fontId="3" fillId="0" borderId="11" xfId="0" applyNumberFormat="1" applyFont="1" applyBorder="1" applyAlignment="1" applyProtection="1">
      <alignment horizontal="center" vertical="center"/>
      <protection locked="0"/>
    </xf>
    <xf numFmtId="0" fontId="3" fillId="0" borderId="13" xfId="0" applyFont="1" applyBorder="1" applyAlignment="1" applyProtection="1">
      <alignment horizontal="center" vertical="center"/>
      <protection locked="0"/>
    </xf>
    <xf numFmtId="49" fontId="11" fillId="3" borderId="11" xfId="0" applyNumberFormat="1" applyFont="1" applyFill="1" applyBorder="1" applyAlignment="1">
      <alignment horizontal="right" vertical="center" wrapText="1"/>
    </xf>
    <xf numFmtId="49" fontId="11" fillId="3" borderId="6" xfId="0" applyNumberFormat="1" applyFont="1" applyFill="1" applyBorder="1" applyAlignment="1">
      <alignment horizontal="right" vertical="center" wrapText="1"/>
    </xf>
    <xf numFmtId="49" fontId="11" fillId="3" borderId="11" xfId="0" applyNumberFormat="1" applyFont="1" applyFill="1" applyBorder="1" applyAlignment="1" applyProtection="1">
      <alignment horizontal="center" vertical="center" wrapText="1"/>
      <protection locked="0"/>
    </xf>
    <xf numFmtId="49" fontId="11" fillId="3" borderId="6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0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1" fontId="0" fillId="3" borderId="28" xfId="0" applyNumberFormat="1" applyFill="1" applyBorder="1" applyAlignment="1">
      <alignment horizontal="center" vertical="center"/>
    </xf>
    <xf numFmtId="1" fontId="0" fillId="3" borderId="29" xfId="0" applyNumberFormat="1" applyFill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9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3" borderId="2" xfId="0" applyNumberFormat="1" applyFill="1" applyBorder="1" applyAlignment="1">
      <alignment horizontal="center" vertical="center"/>
    </xf>
    <xf numFmtId="2" fontId="0" fillId="3" borderId="24" xfId="0" applyNumberFormat="1" applyFill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2" fontId="0" fillId="3" borderId="19" xfId="0" applyNumberFormat="1" applyFill="1" applyBorder="1" applyAlignment="1">
      <alignment horizontal="center" vertical="center"/>
    </xf>
    <xf numFmtId="2" fontId="0" fillId="3" borderId="34" xfId="0" applyNumberFormat="1" applyFill="1" applyBorder="1" applyAlignment="1">
      <alignment horizontal="center" vertical="center"/>
    </xf>
    <xf numFmtId="0" fontId="7" fillId="0" borderId="25" xfId="0" applyFont="1" applyFill="1" applyBorder="1" applyAlignment="1">
      <alignment horizontal="center" vertical="center"/>
    </xf>
    <xf numFmtId="0" fontId="7" fillId="0" borderId="26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32" xfId="0" applyFont="1" applyFill="1" applyBorder="1" applyAlignment="1">
      <alignment horizontal="center" vertical="center"/>
    </xf>
    <xf numFmtId="0" fontId="7" fillId="0" borderId="33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</cellXfs>
  <cellStyles count="2">
    <cellStyle name="Euro" xfId="1" xr:uid="{247734F2-2D34-42CE-80AE-D10DCE45E69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PT"/>
        </a:p>
      </c:txPr>
    </c:title>
    <c:autoTitleDeleted val="0"/>
    <c:view3D>
      <c:rotX val="15"/>
      <c:hPercent val="6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'Incident Board'!#REF!</c:v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'Quadro de sinistralidade'!#REF!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'Quadro de sinistralidade'!#REF!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3367-4D69-AABE-FEA467777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06718655"/>
        <c:axId val="1"/>
        <c:axId val="0"/>
      </c:bar3DChart>
      <c:catAx>
        <c:axId val="19067186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PT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PT"/>
          </a:p>
        </c:txPr>
        <c:crossAx val="190671865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PT"/>
    </a:p>
  </c:txPr>
  <c:printSettings>
    <c:headerFooter alignWithMargins="0"/>
    <c:pageMargins b="1" l="0.75" r="0.75" t="1" header="0" footer="0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Indices  Frequência Acumulado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hPercent val="6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'Incident Board'!#REF!</c:v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'Quadro de sinistralidade'!#REF!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'Quadro de sinistralidade'!#REF!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A16E-4700-BA98-6FEFBFD8B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37572863"/>
        <c:axId val="1"/>
        <c:axId val="0"/>
      </c:bar3DChart>
      <c:catAx>
        <c:axId val="19375728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PT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PT"/>
          </a:p>
        </c:txPr>
        <c:crossAx val="1937572863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PT"/>
    </a:p>
  </c:txPr>
  <c:printSettings>
    <c:headerFooter alignWithMargins="0"/>
    <c:pageMargins b="1" l="0.75" r="0.75" t="1" header="0" footer="0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PT"/>
        </a:p>
      </c:txPr>
    </c:title>
    <c:autoTitleDeleted val="0"/>
    <c:view3D>
      <c:rotX val="15"/>
      <c:hPercent val="6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'Incident Board'!#REF!</c:v>
          </c:tx>
          <c:spPr>
            <a:solidFill>
              <a:srgbClr val="FF66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'Quadro de sinistralidade'!#REF!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'Quadro de sinistralidade'!#REF!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915F-4247-ABD7-34E64830A6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37569983"/>
        <c:axId val="1"/>
        <c:axId val="0"/>
      </c:bar3DChart>
      <c:catAx>
        <c:axId val="19375699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PT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PT"/>
          </a:p>
        </c:txPr>
        <c:crossAx val="1937569983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PT"/>
    </a:p>
  </c:txPr>
  <c:printSettings>
    <c:headerFooter alignWithMargins="0"/>
    <c:pageMargins b="1" l="0.75" r="0.75" t="1" header="0" footer="0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PT"/>
        </a:p>
      </c:txPr>
    </c:title>
    <c:autoTitleDeleted val="0"/>
    <c:view3D>
      <c:rotX val="15"/>
      <c:hPercent val="6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'Incident Board'!#REF!</c:v>
          </c:tx>
          <c:spPr>
            <a:solidFill>
              <a:srgbClr val="FF66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'Quadro de sinistralidade'!#REF!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'Quadro de sinistralidade'!#REF!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3279-40D3-B60B-D6EC6B3D92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38101311"/>
        <c:axId val="1"/>
        <c:axId val="0"/>
      </c:bar3DChart>
      <c:catAx>
        <c:axId val="19381013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PT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PT"/>
          </a:p>
        </c:txPr>
        <c:crossAx val="193810131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PT"/>
    </a:p>
  </c:txPr>
  <c:printSettings>
    <c:headerFooter alignWithMargins="0"/>
    <c:pageMargins b="1" l="0.75" r="0.75" t="1" header="0" footer="0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PT"/>
        </a:p>
      </c:txPr>
    </c:title>
    <c:autoTitleDeleted val="0"/>
    <c:view3D>
      <c:rotX val="15"/>
      <c:hPercent val="6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'Incident Board'!#REF!</c:v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'Quadro de sinistralidade'!#REF!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'Quadro de sinistralidade'!#REF!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F769-4747-BA5B-44D956B11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38102271"/>
        <c:axId val="1"/>
        <c:axId val="0"/>
      </c:bar3DChart>
      <c:catAx>
        <c:axId val="19381022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PT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PT"/>
          </a:p>
        </c:txPr>
        <c:crossAx val="19381022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PT"/>
    </a:p>
  </c:txPr>
  <c:printSettings>
    <c:headerFooter alignWithMargins="0"/>
    <c:pageMargins b="1" l="0.75" r="0.75" t="1" header="0" footer="0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PT"/>
        </a:p>
      </c:txPr>
    </c:title>
    <c:autoTitleDeleted val="0"/>
    <c:view3D>
      <c:rotX val="15"/>
      <c:hPercent val="6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'Incident Board'!#REF!</c:v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'Quadro de sinistralidade'!#REF!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'Quadro de sinistralidade'!#REF!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DCF6-494C-8FFA-6F259BB6D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38127855"/>
        <c:axId val="1"/>
        <c:axId val="0"/>
      </c:bar3DChart>
      <c:catAx>
        <c:axId val="19381278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PT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PT"/>
          </a:p>
        </c:txPr>
        <c:crossAx val="193812785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PT"/>
    </a:p>
  </c:txPr>
  <c:printSettings>
    <c:headerFooter alignWithMargins="0"/>
    <c:pageMargins b="1" l="0.75" r="0.75" t="1" header="0" footer="0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PT"/>
        </a:p>
      </c:txPr>
    </c:title>
    <c:autoTitleDeleted val="0"/>
    <c:view3D>
      <c:rotX val="15"/>
      <c:hPercent val="6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'Incident Board'!#REF!</c:v>
          </c:tx>
          <c:spPr>
            <a:solidFill>
              <a:srgbClr val="FFFF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'Quadro de sinistralidade'!#REF!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'Quadro de sinistralidade'!#REF!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1F9F-4DC8-98BA-6C64CB2FFC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38128335"/>
        <c:axId val="1"/>
        <c:axId val="0"/>
      </c:bar3DChart>
      <c:catAx>
        <c:axId val="19381283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PT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PT"/>
          </a:p>
        </c:txPr>
        <c:crossAx val="193812833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PT"/>
    </a:p>
  </c:txPr>
  <c:printSettings>
    <c:headerFooter alignWithMargins="0"/>
    <c:pageMargins b="1" l="0.75" r="0.75" t="1" header="0" footer="0"/>
    <c:pageSetup paperSize="9" orientation="landscape" horizontalDpi="300" verticalDpi="30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PT"/>
        </a:p>
      </c:txPr>
    </c:title>
    <c:autoTitleDeleted val="0"/>
    <c:view3D>
      <c:rotX val="15"/>
      <c:hPercent val="6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'Incident Board'!#REF!</c:v>
          </c:tx>
          <c:spPr>
            <a:solidFill>
              <a:srgbClr val="FFFF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'Quadro de sinistralidade'!#REF!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'Quadro de sinistralidade'!#REF!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01E4-4E01-AB3B-AC55782911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38258639"/>
        <c:axId val="1"/>
        <c:axId val="0"/>
      </c:bar3DChart>
      <c:catAx>
        <c:axId val="19382586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PT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PT"/>
          </a:p>
        </c:txPr>
        <c:crossAx val="193825863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PT"/>
    </a:p>
  </c:txPr>
  <c:printSettings>
    <c:headerFooter alignWithMargins="0"/>
    <c:pageMargins b="1" l="0.75" r="0.75" t="1" header="0" footer="0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161925</xdr:colOff>
      <xdr:row>53</xdr:row>
      <xdr:rowOff>0</xdr:rowOff>
    </xdr:from>
    <xdr:to>
      <xdr:col>19</xdr:col>
      <xdr:colOff>428625</xdr:colOff>
      <xdr:row>53</xdr:row>
      <xdr:rowOff>0</xdr:rowOff>
    </xdr:to>
    <xdr:graphicFrame macro="">
      <xdr:nvGraphicFramePr>
        <xdr:cNvPr id="1516" name="Gráfico 2">
          <a:extLst>
            <a:ext uri="{FF2B5EF4-FFF2-40B4-BE49-F238E27FC236}">
              <a16:creationId xmlns:a16="http://schemas.microsoft.com/office/drawing/2014/main" id="{05929497-3B44-5917-F7CF-AC287DA08F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95250</xdr:colOff>
      <xdr:row>53</xdr:row>
      <xdr:rowOff>0</xdr:rowOff>
    </xdr:from>
    <xdr:to>
      <xdr:col>9</xdr:col>
      <xdr:colOff>295275</xdr:colOff>
      <xdr:row>53</xdr:row>
      <xdr:rowOff>0</xdr:rowOff>
    </xdr:to>
    <xdr:graphicFrame macro="">
      <xdr:nvGraphicFramePr>
        <xdr:cNvPr id="1517" name="Gráfico 3">
          <a:extLst>
            <a:ext uri="{FF2B5EF4-FFF2-40B4-BE49-F238E27FC236}">
              <a16:creationId xmlns:a16="http://schemas.microsoft.com/office/drawing/2014/main" id="{0E75F7F8-6279-1588-65D1-8FDEB22239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95250</xdr:colOff>
      <xdr:row>53</xdr:row>
      <xdr:rowOff>0</xdr:rowOff>
    </xdr:from>
    <xdr:to>
      <xdr:col>9</xdr:col>
      <xdr:colOff>304800</xdr:colOff>
      <xdr:row>53</xdr:row>
      <xdr:rowOff>0</xdr:rowOff>
    </xdr:to>
    <xdr:graphicFrame macro="">
      <xdr:nvGraphicFramePr>
        <xdr:cNvPr id="1518" name="Gráfico 4">
          <a:extLst>
            <a:ext uri="{FF2B5EF4-FFF2-40B4-BE49-F238E27FC236}">
              <a16:creationId xmlns:a16="http://schemas.microsoft.com/office/drawing/2014/main" id="{A937FDAF-D1BF-E0F8-04A6-06E9816623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200025</xdr:colOff>
      <xdr:row>53</xdr:row>
      <xdr:rowOff>0</xdr:rowOff>
    </xdr:from>
    <xdr:to>
      <xdr:col>19</xdr:col>
      <xdr:colOff>400050</xdr:colOff>
      <xdr:row>53</xdr:row>
      <xdr:rowOff>0</xdr:rowOff>
    </xdr:to>
    <xdr:graphicFrame macro="">
      <xdr:nvGraphicFramePr>
        <xdr:cNvPr id="1519" name="Gráfico 5">
          <a:extLst>
            <a:ext uri="{FF2B5EF4-FFF2-40B4-BE49-F238E27FC236}">
              <a16:creationId xmlns:a16="http://schemas.microsoft.com/office/drawing/2014/main" id="{E0D9343E-C785-148E-3BBB-3FD78B93E2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76200</xdr:colOff>
      <xdr:row>53</xdr:row>
      <xdr:rowOff>0</xdr:rowOff>
    </xdr:from>
    <xdr:to>
      <xdr:col>9</xdr:col>
      <xdr:colOff>390525</xdr:colOff>
      <xdr:row>53</xdr:row>
      <xdr:rowOff>0</xdr:rowOff>
    </xdr:to>
    <xdr:graphicFrame macro="">
      <xdr:nvGraphicFramePr>
        <xdr:cNvPr id="1520" name="Gráfico 6">
          <a:extLst>
            <a:ext uri="{FF2B5EF4-FFF2-40B4-BE49-F238E27FC236}">
              <a16:creationId xmlns:a16="http://schemas.microsoft.com/office/drawing/2014/main" id="{555E748E-B072-8B32-56CB-5FB061D50C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142875</xdr:colOff>
      <xdr:row>53</xdr:row>
      <xdr:rowOff>0</xdr:rowOff>
    </xdr:from>
    <xdr:to>
      <xdr:col>19</xdr:col>
      <xdr:colOff>342900</xdr:colOff>
      <xdr:row>53</xdr:row>
      <xdr:rowOff>0</xdr:rowOff>
    </xdr:to>
    <xdr:graphicFrame macro="">
      <xdr:nvGraphicFramePr>
        <xdr:cNvPr id="1521" name="Gráfico 7">
          <a:extLst>
            <a:ext uri="{FF2B5EF4-FFF2-40B4-BE49-F238E27FC236}">
              <a16:creationId xmlns:a16="http://schemas.microsoft.com/office/drawing/2014/main" id="{CCC56FCA-BA61-F2D9-AC2A-6EC567CAF5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95250</xdr:colOff>
      <xdr:row>53</xdr:row>
      <xdr:rowOff>0</xdr:rowOff>
    </xdr:from>
    <xdr:to>
      <xdr:col>9</xdr:col>
      <xdr:colOff>333375</xdr:colOff>
      <xdr:row>53</xdr:row>
      <xdr:rowOff>0</xdr:rowOff>
    </xdr:to>
    <xdr:graphicFrame macro="">
      <xdr:nvGraphicFramePr>
        <xdr:cNvPr id="1522" name="Gráfico 8">
          <a:extLst>
            <a:ext uri="{FF2B5EF4-FFF2-40B4-BE49-F238E27FC236}">
              <a16:creationId xmlns:a16="http://schemas.microsoft.com/office/drawing/2014/main" id="{9B63B458-3394-0A22-6D3F-12C45C5DCB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161925</xdr:colOff>
      <xdr:row>53</xdr:row>
      <xdr:rowOff>0</xdr:rowOff>
    </xdr:from>
    <xdr:to>
      <xdr:col>19</xdr:col>
      <xdr:colOff>323850</xdr:colOff>
      <xdr:row>53</xdr:row>
      <xdr:rowOff>0</xdr:rowOff>
    </xdr:to>
    <xdr:graphicFrame macro="">
      <xdr:nvGraphicFramePr>
        <xdr:cNvPr id="1523" name="Gráfico 9">
          <a:extLst>
            <a:ext uri="{FF2B5EF4-FFF2-40B4-BE49-F238E27FC236}">
              <a16:creationId xmlns:a16="http://schemas.microsoft.com/office/drawing/2014/main" id="{ED83FF9A-4A32-7C5E-8C82-7EC9F5F01A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17</xdr:col>
      <xdr:colOff>425449</xdr:colOff>
      <xdr:row>0</xdr:row>
      <xdr:rowOff>114300</xdr:rowOff>
    </xdr:from>
    <xdr:to>
      <xdr:col>18</xdr:col>
      <xdr:colOff>439698</xdr:colOff>
      <xdr:row>0</xdr:row>
      <xdr:rowOff>723900</xdr:rowOff>
    </xdr:to>
    <xdr:pic>
      <xdr:nvPicPr>
        <xdr:cNvPr id="1524" name="Picture 4">
          <a:extLst>
            <a:ext uri="{FF2B5EF4-FFF2-40B4-BE49-F238E27FC236}">
              <a16:creationId xmlns:a16="http://schemas.microsoft.com/office/drawing/2014/main" id="{05F0A0B6-62F9-9DC1-6304-9165CF12E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66749" y="114300"/>
          <a:ext cx="750849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37332-15D6-4850-A883-615342009B74}">
  <dimension ref="A1:DR53"/>
  <sheetViews>
    <sheetView showGridLines="0" tabSelected="1" view="pageBreakPreview" zoomScale="75" zoomScaleNormal="75" zoomScaleSheetLayoutView="75" workbookViewId="0">
      <selection activeCell="C39" sqref="C39"/>
    </sheetView>
  </sheetViews>
  <sheetFormatPr defaultColWidth="8.81640625" defaultRowHeight="12.5" x14ac:dyDescent="0.25"/>
  <cols>
    <col min="1" max="1" width="16.453125" style="30" customWidth="1"/>
    <col min="2" max="13" width="10.453125" style="30" customWidth="1"/>
    <col min="14" max="14" width="10.453125" style="29" customWidth="1"/>
    <col min="15" max="15" width="10.453125" style="30" customWidth="1"/>
    <col min="16" max="18" width="10.453125" style="29" customWidth="1"/>
    <col min="19" max="19" width="10.453125" style="30" customWidth="1"/>
    <col min="20" max="16384" width="8.81640625" style="30"/>
  </cols>
  <sheetData>
    <row r="1" spans="1:19" s="13" customFormat="1" ht="59.25" customHeight="1" x14ac:dyDescent="0.25">
      <c r="A1" s="82" t="s">
        <v>39</v>
      </c>
      <c r="B1" s="83"/>
      <c r="C1" s="83"/>
      <c r="D1" s="84" t="s">
        <v>45</v>
      </c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69"/>
      <c r="S1" s="69"/>
    </row>
    <row r="2" spans="1:19" s="13" customFormat="1" ht="21.75" customHeight="1" x14ac:dyDescent="0.25">
      <c r="C2" s="1"/>
      <c r="D2" s="1"/>
      <c r="N2" s="14"/>
      <c r="P2" s="14"/>
      <c r="Q2" s="14"/>
      <c r="R2" s="14"/>
    </row>
    <row r="3" spans="1:19" s="15" customFormat="1" ht="18" customHeight="1" x14ac:dyDescent="0.25">
      <c r="A3" s="48" t="s">
        <v>11</v>
      </c>
      <c r="B3" s="80" t="s">
        <v>71</v>
      </c>
      <c r="C3" s="81"/>
      <c r="D3" s="39"/>
      <c r="E3" s="39"/>
      <c r="F3" s="39"/>
      <c r="G3" s="39"/>
      <c r="H3" s="39"/>
      <c r="I3" s="39"/>
      <c r="J3" s="39" t="s">
        <v>10</v>
      </c>
      <c r="K3" s="39"/>
      <c r="L3" s="39"/>
      <c r="M3" s="39"/>
      <c r="N3" s="39"/>
      <c r="O3" s="39"/>
      <c r="P3" s="39"/>
      <c r="Q3" s="39"/>
      <c r="R3" s="39"/>
      <c r="S3" s="39"/>
    </row>
    <row r="4" spans="1:19" s="15" customFormat="1" ht="20.25" customHeight="1" thickBot="1" x14ac:dyDescent="0.3">
      <c r="A4" s="16"/>
      <c r="G4" s="16"/>
      <c r="N4" s="17"/>
      <c r="P4" s="17"/>
      <c r="Q4" s="17"/>
      <c r="R4" s="17"/>
    </row>
    <row r="5" spans="1:19" s="18" customFormat="1" ht="23.5" customHeight="1" x14ac:dyDescent="0.25">
      <c r="A5" s="65" t="s">
        <v>11</v>
      </c>
      <c r="B5" s="52" t="s">
        <v>12</v>
      </c>
      <c r="C5" s="53"/>
      <c r="D5" s="52" t="s">
        <v>17</v>
      </c>
      <c r="E5" s="53"/>
      <c r="F5" s="97" t="s">
        <v>18</v>
      </c>
      <c r="G5" s="97"/>
      <c r="H5" s="97"/>
      <c r="I5" s="97"/>
      <c r="J5" s="95" t="s">
        <v>19</v>
      </c>
      <c r="K5" s="96"/>
      <c r="L5" s="67" t="s">
        <v>22</v>
      </c>
      <c r="M5" s="68"/>
      <c r="N5" s="67" t="s">
        <v>20</v>
      </c>
      <c r="O5" s="68"/>
      <c r="P5" s="67" t="s">
        <v>21</v>
      </c>
      <c r="Q5" s="68"/>
      <c r="R5" s="67" t="s">
        <v>23</v>
      </c>
      <c r="S5" s="79"/>
    </row>
    <row r="6" spans="1:19" s="2" customFormat="1" ht="26.25" customHeight="1" x14ac:dyDescent="0.25">
      <c r="A6" s="66"/>
      <c r="B6" s="5" t="s">
        <v>13</v>
      </c>
      <c r="C6" s="5" t="s">
        <v>14</v>
      </c>
      <c r="D6" s="5" t="s">
        <v>13</v>
      </c>
      <c r="E6" s="5" t="s">
        <v>14</v>
      </c>
      <c r="F6" s="5" t="s">
        <v>16</v>
      </c>
      <c r="G6" s="5" t="s">
        <v>14</v>
      </c>
      <c r="H6" s="12" t="s">
        <v>15</v>
      </c>
      <c r="I6" s="5" t="s">
        <v>14</v>
      </c>
      <c r="J6" s="5" t="s">
        <v>13</v>
      </c>
      <c r="K6" s="5" t="s">
        <v>14</v>
      </c>
      <c r="L6" s="5" t="s">
        <v>13</v>
      </c>
      <c r="M6" s="5" t="s">
        <v>14</v>
      </c>
      <c r="N6" s="5" t="s">
        <v>13</v>
      </c>
      <c r="O6" s="5" t="s">
        <v>14</v>
      </c>
      <c r="P6" s="5" t="s">
        <v>13</v>
      </c>
      <c r="Q6" s="5" t="s">
        <v>14</v>
      </c>
      <c r="R6" s="5" t="s">
        <v>13</v>
      </c>
      <c r="S6" s="42" t="s">
        <v>14</v>
      </c>
    </row>
    <row r="7" spans="1:19" s="2" customFormat="1" ht="13.5" customHeight="1" x14ac:dyDescent="0.25">
      <c r="A7" s="45" t="s">
        <v>40</v>
      </c>
      <c r="B7" s="43">
        <v>22</v>
      </c>
      <c r="C7" s="8">
        <f>B7</f>
        <v>22</v>
      </c>
      <c r="D7" s="6">
        <f>+B7*9*24</f>
        <v>4752</v>
      </c>
      <c r="E7" s="8">
        <f>D7</f>
        <v>4752</v>
      </c>
      <c r="F7" s="43">
        <v>0</v>
      </c>
      <c r="G7" s="8">
        <f>IF(C7="","",F7)</f>
        <v>0</v>
      </c>
      <c r="H7" s="43">
        <v>0</v>
      </c>
      <c r="I7" s="8">
        <f>IF(C7="","",H7)</f>
        <v>0</v>
      </c>
      <c r="J7" s="43">
        <v>0</v>
      </c>
      <c r="K7" s="8">
        <f>IF(C7="","",J7)</f>
        <v>0</v>
      </c>
      <c r="L7" s="19">
        <f t="shared" ref="L7:L39" si="0">IF(B7="","",(F7+H7)*1000/B7)</f>
        <v>0</v>
      </c>
      <c r="M7" s="19">
        <f>IFERROR(IF(C7="","",(G7+I7)*1000/C7),"")</f>
        <v>0</v>
      </c>
      <c r="N7" s="19">
        <f t="shared" ref="N7:N40" si="1">IFERROR(IF(D7="","",(F7+H7)*1000000/D7),"")</f>
        <v>0</v>
      </c>
      <c r="O7" s="19">
        <f t="shared" ref="O7:O41" si="2">IFERROR(IF(E7="","",(G7+I7)*1000000/E7),"")</f>
        <v>0</v>
      </c>
      <c r="P7" s="19">
        <f t="shared" ref="P7:P39" si="3">IFERROR(IF(D7="","",(J7*1000/D7)),"")</f>
        <v>0</v>
      </c>
      <c r="Q7" s="19">
        <f t="shared" ref="Q7:Q38" si="4">IFERROR(IF(E7="","",(K7*1000/E7)),"")</f>
        <v>0</v>
      </c>
      <c r="R7" s="19">
        <f t="shared" ref="R7:R38" si="5">IF(B7="","",IF((F7+H7)=0,0,(J7)/(F7+H7)))</f>
        <v>0</v>
      </c>
      <c r="S7" s="34">
        <f t="shared" ref="S7:S39" si="6">IF(C7="","",IF((G7+I7)=0,0,(K7)/(G7+I7)))</f>
        <v>0</v>
      </c>
    </row>
    <row r="8" spans="1:19" s="2" customFormat="1" ht="13.5" customHeight="1" x14ac:dyDescent="0.25">
      <c r="A8" s="45" t="s">
        <v>41</v>
      </c>
      <c r="B8" s="43">
        <v>37</v>
      </c>
      <c r="C8" s="8">
        <f t="shared" ref="C8:C40" si="7">IF(B8="","",B8+C7)</f>
        <v>59</v>
      </c>
      <c r="D8" s="6">
        <f t="shared" ref="D8:D42" si="8">+B8*9*24</f>
        <v>7992</v>
      </c>
      <c r="E8" s="8">
        <f t="shared" ref="E8:E18" si="9">IF(D8="","",D8+E7)</f>
        <v>12744</v>
      </c>
      <c r="F8" s="43">
        <v>0</v>
      </c>
      <c r="G8" s="8">
        <f t="shared" ref="G8:G40" si="10">IF(C8="","",F8+G7)</f>
        <v>0</v>
      </c>
      <c r="H8" s="43">
        <v>0</v>
      </c>
      <c r="I8" s="8">
        <f t="shared" ref="I8:I41" si="11">IF(C8="","",H8+I7)</f>
        <v>0</v>
      </c>
      <c r="J8" s="43">
        <v>0</v>
      </c>
      <c r="K8" s="8">
        <f t="shared" ref="K8:K39" si="12">IF(C8="","",J8+K7)</f>
        <v>0</v>
      </c>
      <c r="L8" s="19">
        <f t="shared" si="0"/>
        <v>0</v>
      </c>
      <c r="M8" s="19">
        <f t="shared" ref="M8:M40" si="13">IF(C8="","",(G8+I8)*1000/C8)</f>
        <v>0</v>
      </c>
      <c r="N8" s="19">
        <f t="shared" si="1"/>
        <v>0</v>
      </c>
      <c r="O8" s="19">
        <f t="shared" si="2"/>
        <v>0</v>
      </c>
      <c r="P8" s="19">
        <f t="shared" si="3"/>
        <v>0</v>
      </c>
      <c r="Q8" s="19">
        <f t="shared" si="4"/>
        <v>0</v>
      </c>
      <c r="R8" s="19">
        <f t="shared" si="5"/>
        <v>0</v>
      </c>
      <c r="S8" s="34">
        <f t="shared" si="6"/>
        <v>0</v>
      </c>
    </row>
    <row r="9" spans="1:19" s="2" customFormat="1" ht="13.5" customHeight="1" x14ac:dyDescent="0.25">
      <c r="A9" s="45" t="s">
        <v>42</v>
      </c>
      <c r="B9" s="43">
        <v>30</v>
      </c>
      <c r="C9" s="8">
        <f t="shared" si="7"/>
        <v>89</v>
      </c>
      <c r="D9" s="6">
        <f t="shared" si="8"/>
        <v>6480</v>
      </c>
      <c r="E9" s="8">
        <f t="shared" si="9"/>
        <v>19224</v>
      </c>
      <c r="F9" s="43">
        <v>0</v>
      </c>
      <c r="G9" s="8">
        <f t="shared" si="10"/>
        <v>0</v>
      </c>
      <c r="H9" s="43">
        <v>0</v>
      </c>
      <c r="I9" s="8">
        <f t="shared" si="11"/>
        <v>0</v>
      </c>
      <c r="J9" s="43">
        <v>0</v>
      </c>
      <c r="K9" s="8">
        <f t="shared" si="12"/>
        <v>0</v>
      </c>
      <c r="L9" s="19">
        <f t="shared" si="0"/>
        <v>0</v>
      </c>
      <c r="M9" s="19">
        <f t="shared" si="13"/>
        <v>0</v>
      </c>
      <c r="N9" s="19">
        <f t="shared" si="1"/>
        <v>0</v>
      </c>
      <c r="O9" s="19">
        <f t="shared" si="2"/>
        <v>0</v>
      </c>
      <c r="P9" s="19">
        <f t="shared" si="3"/>
        <v>0</v>
      </c>
      <c r="Q9" s="19">
        <f t="shared" si="4"/>
        <v>0</v>
      </c>
      <c r="R9" s="19">
        <f t="shared" si="5"/>
        <v>0</v>
      </c>
      <c r="S9" s="34">
        <f t="shared" si="6"/>
        <v>0</v>
      </c>
    </row>
    <row r="10" spans="1:19" s="2" customFormat="1" ht="13.5" customHeight="1" x14ac:dyDescent="0.25">
      <c r="A10" s="45" t="s">
        <v>43</v>
      </c>
      <c r="B10" s="43">
        <v>29</v>
      </c>
      <c r="C10" s="8">
        <f t="shared" si="7"/>
        <v>118</v>
      </c>
      <c r="D10" s="6">
        <f t="shared" si="8"/>
        <v>6264</v>
      </c>
      <c r="E10" s="8">
        <f t="shared" si="9"/>
        <v>25488</v>
      </c>
      <c r="F10" s="43">
        <v>0</v>
      </c>
      <c r="G10" s="8">
        <f t="shared" si="10"/>
        <v>0</v>
      </c>
      <c r="H10" s="43">
        <v>0</v>
      </c>
      <c r="I10" s="8">
        <f t="shared" si="11"/>
        <v>0</v>
      </c>
      <c r="J10" s="43">
        <v>0</v>
      </c>
      <c r="K10" s="8">
        <f t="shared" si="12"/>
        <v>0</v>
      </c>
      <c r="L10" s="19">
        <f t="shared" si="0"/>
        <v>0</v>
      </c>
      <c r="M10" s="19">
        <f t="shared" si="13"/>
        <v>0</v>
      </c>
      <c r="N10" s="19">
        <f t="shared" si="1"/>
        <v>0</v>
      </c>
      <c r="O10" s="19">
        <f t="shared" si="2"/>
        <v>0</v>
      </c>
      <c r="P10" s="19">
        <f t="shared" si="3"/>
        <v>0</v>
      </c>
      <c r="Q10" s="19">
        <f t="shared" si="4"/>
        <v>0</v>
      </c>
      <c r="R10" s="19">
        <f t="shared" si="5"/>
        <v>0</v>
      </c>
      <c r="S10" s="34">
        <f t="shared" si="6"/>
        <v>0</v>
      </c>
    </row>
    <row r="11" spans="1:19" s="2" customFormat="1" ht="13.5" customHeight="1" x14ac:dyDescent="0.25">
      <c r="A11" s="45" t="s">
        <v>44</v>
      </c>
      <c r="B11" s="43">
        <v>50</v>
      </c>
      <c r="C11" s="8">
        <f t="shared" si="7"/>
        <v>168</v>
      </c>
      <c r="D11" s="6">
        <f t="shared" si="8"/>
        <v>10800</v>
      </c>
      <c r="E11" s="8">
        <f t="shared" si="9"/>
        <v>36288</v>
      </c>
      <c r="F11" s="43">
        <v>0</v>
      </c>
      <c r="G11" s="8">
        <f t="shared" si="10"/>
        <v>0</v>
      </c>
      <c r="H11" s="43">
        <v>0</v>
      </c>
      <c r="I11" s="8">
        <f t="shared" si="11"/>
        <v>0</v>
      </c>
      <c r="J11" s="43">
        <v>0</v>
      </c>
      <c r="K11" s="8">
        <f t="shared" si="12"/>
        <v>0</v>
      </c>
      <c r="L11" s="19">
        <f t="shared" si="0"/>
        <v>0</v>
      </c>
      <c r="M11" s="19">
        <f t="shared" si="13"/>
        <v>0</v>
      </c>
      <c r="N11" s="19">
        <f t="shared" si="1"/>
        <v>0</v>
      </c>
      <c r="O11" s="19">
        <f t="shared" si="2"/>
        <v>0</v>
      </c>
      <c r="P11" s="19">
        <f t="shared" si="3"/>
        <v>0</v>
      </c>
      <c r="Q11" s="19">
        <f t="shared" si="4"/>
        <v>0</v>
      </c>
      <c r="R11" s="19">
        <f t="shared" si="5"/>
        <v>0</v>
      </c>
      <c r="S11" s="34">
        <f t="shared" si="6"/>
        <v>0</v>
      </c>
    </row>
    <row r="12" spans="1:19" s="2" customFormat="1" ht="13.5" customHeight="1" x14ac:dyDescent="0.25">
      <c r="A12" s="45" t="s">
        <v>46</v>
      </c>
      <c r="B12" s="43">
        <v>53</v>
      </c>
      <c r="C12" s="8">
        <f t="shared" si="7"/>
        <v>221</v>
      </c>
      <c r="D12" s="6">
        <f t="shared" si="8"/>
        <v>11448</v>
      </c>
      <c r="E12" s="8">
        <f t="shared" si="9"/>
        <v>47736</v>
      </c>
      <c r="F12" s="43">
        <v>0</v>
      </c>
      <c r="G12" s="8">
        <f t="shared" si="10"/>
        <v>0</v>
      </c>
      <c r="H12" s="43">
        <v>0</v>
      </c>
      <c r="I12" s="8">
        <f t="shared" si="11"/>
        <v>0</v>
      </c>
      <c r="J12" s="43">
        <v>0</v>
      </c>
      <c r="K12" s="8">
        <f t="shared" si="12"/>
        <v>0</v>
      </c>
      <c r="L12" s="19">
        <f t="shared" si="0"/>
        <v>0</v>
      </c>
      <c r="M12" s="19">
        <f t="shared" si="13"/>
        <v>0</v>
      </c>
      <c r="N12" s="19">
        <f t="shared" si="1"/>
        <v>0</v>
      </c>
      <c r="O12" s="19">
        <f t="shared" si="2"/>
        <v>0</v>
      </c>
      <c r="P12" s="19">
        <f t="shared" si="3"/>
        <v>0</v>
      </c>
      <c r="Q12" s="19">
        <f t="shared" si="4"/>
        <v>0</v>
      </c>
      <c r="R12" s="19">
        <f t="shared" si="5"/>
        <v>0</v>
      </c>
      <c r="S12" s="34">
        <f t="shared" si="6"/>
        <v>0</v>
      </c>
    </row>
    <row r="13" spans="1:19" s="2" customFormat="1" ht="13.5" customHeight="1" x14ac:dyDescent="0.25">
      <c r="A13" s="45" t="s">
        <v>47</v>
      </c>
      <c r="B13" s="43">
        <v>51</v>
      </c>
      <c r="C13" s="8">
        <f t="shared" si="7"/>
        <v>272</v>
      </c>
      <c r="D13" s="6">
        <f t="shared" si="8"/>
        <v>11016</v>
      </c>
      <c r="E13" s="8">
        <f t="shared" si="9"/>
        <v>58752</v>
      </c>
      <c r="F13" s="43">
        <v>0</v>
      </c>
      <c r="G13" s="8">
        <f t="shared" si="10"/>
        <v>0</v>
      </c>
      <c r="H13" s="43">
        <v>0</v>
      </c>
      <c r="I13" s="8">
        <f t="shared" si="11"/>
        <v>0</v>
      </c>
      <c r="J13" s="43">
        <v>0</v>
      </c>
      <c r="K13" s="8">
        <f t="shared" si="12"/>
        <v>0</v>
      </c>
      <c r="L13" s="19">
        <f t="shared" si="0"/>
        <v>0</v>
      </c>
      <c r="M13" s="19">
        <f t="shared" si="13"/>
        <v>0</v>
      </c>
      <c r="N13" s="19">
        <f t="shared" si="1"/>
        <v>0</v>
      </c>
      <c r="O13" s="19">
        <f t="shared" si="2"/>
        <v>0</v>
      </c>
      <c r="P13" s="19">
        <f t="shared" si="3"/>
        <v>0</v>
      </c>
      <c r="Q13" s="19">
        <f t="shared" si="4"/>
        <v>0</v>
      </c>
      <c r="R13" s="19">
        <f t="shared" si="5"/>
        <v>0</v>
      </c>
      <c r="S13" s="34">
        <f t="shared" si="6"/>
        <v>0</v>
      </c>
    </row>
    <row r="14" spans="1:19" s="20" customFormat="1" ht="14.25" customHeight="1" x14ac:dyDescent="0.25">
      <c r="A14" s="45" t="s">
        <v>48</v>
      </c>
      <c r="B14" s="43">
        <v>51</v>
      </c>
      <c r="C14" s="8">
        <f t="shared" si="7"/>
        <v>323</v>
      </c>
      <c r="D14" s="6">
        <f t="shared" si="8"/>
        <v>11016</v>
      </c>
      <c r="E14" s="8">
        <f t="shared" si="9"/>
        <v>69768</v>
      </c>
      <c r="F14" s="43">
        <v>0</v>
      </c>
      <c r="G14" s="8">
        <f t="shared" si="10"/>
        <v>0</v>
      </c>
      <c r="H14" s="43">
        <v>0</v>
      </c>
      <c r="I14" s="8">
        <f t="shared" si="11"/>
        <v>0</v>
      </c>
      <c r="J14" s="43">
        <v>0</v>
      </c>
      <c r="K14" s="8">
        <f t="shared" si="12"/>
        <v>0</v>
      </c>
      <c r="L14" s="19">
        <f t="shared" si="0"/>
        <v>0</v>
      </c>
      <c r="M14" s="19">
        <f t="shared" si="13"/>
        <v>0</v>
      </c>
      <c r="N14" s="19">
        <f t="shared" si="1"/>
        <v>0</v>
      </c>
      <c r="O14" s="19">
        <f t="shared" si="2"/>
        <v>0</v>
      </c>
      <c r="P14" s="19">
        <f t="shared" si="3"/>
        <v>0</v>
      </c>
      <c r="Q14" s="19">
        <f t="shared" si="4"/>
        <v>0</v>
      </c>
      <c r="R14" s="19">
        <f t="shared" si="5"/>
        <v>0</v>
      </c>
      <c r="S14" s="34">
        <f t="shared" si="6"/>
        <v>0</v>
      </c>
    </row>
    <row r="15" spans="1:19" s="20" customFormat="1" ht="14.25" customHeight="1" x14ac:dyDescent="0.25">
      <c r="A15" s="45" t="s">
        <v>49</v>
      </c>
      <c r="B15" s="43">
        <v>70</v>
      </c>
      <c r="C15" s="8">
        <f t="shared" si="7"/>
        <v>393</v>
      </c>
      <c r="D15" s="6">
        <f t="shared" si="8"/>
        <v>15120</v>
      </c>
      <c r="E15" s="8">
        <f t="shared" si="9"/>
        <v>84888</v>
      </c>
      <c r="F15" s="43">
        <v>0</v>
      </c>
      <c r="G15" s="8">
        <f t="shared" si="10"/>
        <v>0</v>
      </c>
      <c r="H15" s="43">
        <v>0</v>
      </c>
      <c r="I15" s="8">
        <f t="shared" si="11"/>
        <v>0</v>
      </c>
      <c r="J15" s="43">
        <v>0</v>
      </c>
      <c r="K15" s="8">
        <f t="shared" si="12"/>
        <v>0</v>
      </c>
      <c r="L15" s="19">
        <f t="shared" si="0"/>
        <v>0</v>
      </c>
      <c r="M15" s="19">
        <f t="shared" si="13"/>
        <v>0</v>
      </c>
      <c r="N15" s="19">
        <f t="shared" si="1"/>
        <v>0</v>
      </c>
      <c r="O15" s="19">
        <f t="shared" si="2"/>
        <v>0</v>
      </c>
      <c r="P15" s="19">
        <f t="shared" si="3"/>
        <v>0</v>
      </c>
      <c r="Q15" s="19">
        <f t="shared" si="4"/>
        <v>0</v>
      </c>
      <c r="R15" s="19">
        <f t="shared" si="5"/>
        <v>0</v>
      </c>
      <c r="S15" s="34">
        <f t="shared" si="6"/>
        <v>0</v>
      </c>
    </row>
    <row r="16" spans="1:19" s="20" customFormat="1" ht="14.25" customHeight="1" x14ac:dyDescent="0.25">
      <c r="A16" s="45" t="s">
        <v>50</v>
      </c>
      <c r="B16" s="43">
        <v>97</v>
      </c>
      <c r="C16" s="8">
        <f t="shared" si="7"/>
        <v>490</v>
      </c>
      <c r="D16" s="6">
        <f t="shared" si="8"/>
        <v>20952</v>
      </c>
      <c r="E16" s="8">
        <f t="shared" si="9"/>
        <v>105840</v>
      </c>
      <c r="F16" s="43">
        <v>0</v>
      </c>
      <c r="G16" s="8">
        <f t="shared" si="10"/>
        <v>0</v>
      </c>
      <c r="H16" s="43">
        <v>0</v>
      </c>
      <c r="I16" s="8">
        <f t="shared" si="11"/>
        <v>0</v>
      </c>
      <c r="J16" s="43">
        <v>0</v>
      </c>
      <c r="K16" s="8">
        <f t="shared" si="12"/>
        <v>0</v>
      </c>
      <c r="L16" s="19">
        <f t="shared" si="0"/>
        <v>0</v>
      </c>
      <c r="M16" s="19">
        <f t="shared" si="13"/>
        <v>0</v>
      </c>
      <c r="N16" s="19">
        <f t="shared" si="1"/>
        <v>0</v>
      </c>
      <c r="O16" s="19">
        <f t="shared" si="2"/>
        <v>0</v>
      </c>
      <c r="P16" s="19">
        <f t="shared" si="3"/>
        <v>0</v>
      </c>
      <c r="Q16" s="19">
        <f t="shared" si="4"/>
        <v>0</v>
      </c>
      <c r="R16" s="19">
        <f t="shared" si="5"/>
        <v>0</v>
      </c>
      <c r="S16" s="34">
        <f t="shared" si="6"/>
        <v>0</v>
      </c>
    </row>
    <row r="17" spans="1:19" s="20" customFormat="1" ht="14.25" customHeight="1" x14ac:dyDescent="0.25">
      <c r="A17" s="45" t="s">
        <v>51</v>
      </c>
      <c r="B17" s="43">
        <v>102</v>
      </c>
      <c r="C17" s="8">
        <f t="shared" si="7"/>
        <v>592</v>
      </c>
      <c r="D17" s="6">
        <f t="shared" si="8"/>
        <v>22032</v>
      </c>
      <c r="E17" s="7">
        <f t="shared" si="9"/>
        <v>127872</v>
      </c>
      <c r="F17" s="43">
        <v>0</v>
      </c>
      <c r="G17" s="8">
        <f t="shared" si="10"/>
        <v>0</v>
      </c>
      <c r="H17" s="43">
        <v>0</v>
      </c>
      <c r="I17" s="8">
        <f t="shared" si="11"/>
        <v>0</v>
      </c>
      <c r="J17" s="43">
        <v>0</v>
      </c>
      <c r="K17" s="8">
        <f t="shared" si="12"/>
        <v>0</v>
      </c>
      <c r="L17" s="19">
        <f t="shared" si="0"/>
        <v>0</v>
      </c>
      <c r="M17" s="19">
        <f t="shared" si="13"/>
        <v>0</v>
      </c>
      <c r="N17" s="19">
        <f t="shared" si="1"/>
        <v>0</v>
      </c>
      <c r="O17" s="19">
        <f t="shared" si="2"/>
        <v>0</v>
      </c>
      <c r="P17" s="19">
        <f t="shared" si="3"/>
        <v>0</v>
      </c>
      <c r="Q17" s="19">
        <f t="shared" si="4"/>
        <v>0</v>
      </c>
      <c r="R17" s="19">
        <f t="shared" si="5"/>
        <v>0</v>
      </c>
      <c r="S17" s="34">
        <f t="shared" si="6"/>
        <v>0</v>
      </c>
    </row>
    <row r="18" spans="1:19" s="20" customFormat="1" ht="14.25" customHeight="1" x14ac:dyDescent="0.25">
      <c r="A18" s="45" t="s">
        <v>52</v>
      </c>
      <c r="B18" s="43">
        <v>98</v>
      </c>
      <c r="C18" s="8">
        <f t="shared" si="7"/>
        <v>690</v>
      </c>
      <c r="D18" s="6">
        <f t="shared" si="8"/>
        <v>21168</v>
      </c>
      <c r="E18" s="6">
        <f t="shared" si="9"/>
        <v>149040</v>
      </c>
      <c r="F18" s="43">
        <v>0</v>
      </c>
      <c r="G18" s="8">
        <f t="shared" si="10"/>
        <v>0</v>
      </c>
      <c r="H18" s="43">
        <v>0</v>
      </c>
      <c r="I18" s="8">
        <f t="shared" si="11"/>
        <v>0</v>
      </c>
      <c r="J18" s="43">
        <v>0</v>
      </c>
      <c r="K18" s="8">
        <f t="shared" si="12"/>
        <v>0</v>
      </c>
      <c r="L18" s="19">
        <f t="shared" si="0"/>
        <v>0</v>
      </c>
      <c r="M18" s="19">
        <f t="shared" si="13"/>
        <v>0</v>
      </c>
      <c r="N18" s="19">
        <f t="shared" si="1"/>
        <v>0</v>
      </c>
      <c r="O18" s="19">
        <f t="shared" si="2"/>
        <v>0</v>
      </c>
      <c r="P18" s="19">
        <f t="shared" si="3"/>
        <v>0</v>
      </c>
      <c r="Q18" s="19">
        <f t="shared" si="4"/>
        <v>0</v>
      </c>
      <c r="R18" s="19">
        <f t="shared" si="5"/>
        <v>0</v>
      </c>
      <c r="S18" s="34">
        <f t="shared" si="6"/>
        <v>0</v>
      </c>
    </row>
    <row r="19" spans="1:19" s="20" customFormat="1" ht="14.25" customHeight="1" x14ac:dyDescent="0.25">
      <c r="A19" s="45" t="s">
        <v>53</v>
      </c>
      <c r="B19" s="43">
        <v>99</v>
      </c>
      <c r="C19" s="8">
        <f t="shared" si="7"/>
        <v>789</v>
      </c>
      <c r="D19" s="6">
        <f t="shared" si="8"/>
        <v>21384</v>
      </c>
      <c r="E19" s="6">
        <f t="shared" ref="E19:E36" si="14">IF(D19="","",D19+E18)</f>
        <v>170424</v>
      </c>
      <c r="F19" s="43">
        <v>0</v>
      </c>
      <c r="G19" s="8">
        <f t="shared" si="10"/>
        <v>0</v>
      </c>
      <c r="H19" s="43">
        <v>0</v>
      </c>
      <c r="I19" s="8">
        <f t="shared" si="11"/>
        <v>0</v>
      </c>
      <c r="J19" s="43">
        <v>0</v>
      </c>
      <c r="K19" s="8">
        <f t="shared" si="12"/>
        <v>0</v>
      </c>
      <c r="L19" s="19">
        <f t="shared" si="0"/>
        <v>0</v>
      </c>
      <c r="M19" s="19">
        <f t="shared" si="13"/>
        <v>0</v>
      </c>
      <c r="N19" s="19">
        <f t="shared" si="1"/>
        <v>0</v>
      </c>
      <c r="O19" s="19">
        <f t="shared" si="2"/>
        <v>0</v>
      </c>
      <c r="P19" s="19">
        <f t="shared" si="3"/>
        <v>0</v>
      </c>
      <c r="Q19" s="19">
        <f t="shared" si="4"/>
        <v>0</v>
      </c>
      <c r="R19" s="19">
        <f t="shared" si="5"/>
        <v>0</v>
      </c>
      <c r="S19" s="34">
        <f t="shared" si="6"/>
        <v>0</v>
      </c>
    </row>
    <row r="20" spans="1:19" s="20" customFormat="1" ht="14.25" customHeight="1" x14ac:dyDescent="0.25">
      <c r="A20" s="45" t="s">
        <v>54</v>
      </c>
      <c r="B20" s="43">
        <v>118</v>
      </c>
      <c r="C20" s="8">
        <f t="shared" si="7"/>
        <v>907</v>
      </c>
      <c r="D20" s="6">
        <f t="shared" si="8"/>
        <v>25488</v>
      </c>
      <c r="E20" s="6">
        <f t="shared" si="14"/>
        <v>195912</v>
      </c>
      <c r="F20" s="43">
        <v>0</v>
      </c>
      <c r="G20" s="8">
        <f t="shared" si="10"/>
        <v>0</v>
      </c>
      <c r="H20" s="43">
        <v>0</v>
      </c>
      <c r="I20" s="8">
        <f t="shared" si="11"/>
        <v>0</v>
      </c>
      <c r="J20" s="43">
        <v>0</v>
      </c>
      <c r="K20" s="8">
        <f t="shared" si="12"/>
        <v>0</v>
      </c>
      <c r="L20" s="19">
        <f t="shared" si="0"/>
        <v>0</v>
      </c>
      <c r="M20" s="19">
        <f t="shared" si="13"/>
        <v>0</v>
      </c>
      <c r="N20" s="19">
        <f t="shared" si="1"/>
        <v>0</v>
      </c>
      <c r="O20" s="19">
        <f t="shared" si="2"/>
        <v>0</v>
      </c>
      <c r="P20" s="19">
        <f t="shared" si="3"/>
        <v>0</v>
      </c>
      <c r="Q20" s="19">
        <f t="shared" si="4"/>
        <v>0</v>
      </c>
      <c r="R20" s="19">
        <f t="shared" si="5"/>
        <v>0</v>
      </c>
      <c r="S20" s="34">
        <f t="shared" si="6"/>
        <v>0</v>
      </c>
    </row>
    <row r="21" spans="1:19" s="20" customFormat="1" ht="14.25" customHeight="1" x14ac:dyDescent="0.25">
      <c r="A21" s="45" t="s">
        <v>55</v>
      </c>
      <c r="B21" s="43">
        <v>116</v>
      </c>
      <c r="C21" s="8">
        <f t="shared" si="7"/>
        <v>1023</v>
      </c>
      <c r="D21" s="6">
        <f t="shared" si="8"/>
        <v>25056</v>
      </c>
      <c r="E21" s="6">
        <f t="shared" si="14"/>
        <v>220968</v>
      </c>
      <c r="F21" s="43">
        <v>0</v>
      </c>
      <c r="G21" s="8">
        <f t="shared" si="10"/>
        <v>0</v>
      </c>
      <c r="H21" s="43">
        <v>0</v>
      </c>
      <c r="I21" s="8">
        <f t="shared" si="11"/>
        <v>0</v>
      </c>
      <c r="J21" s="43">
        <v>0</v>
      </c>
      <c r="K21" s="8">
        <f t="shared" si="12"/>
        <v>0</v>
      </c>
      <c r="L21" s="19">
        <f t="shared" si="0"/>
        <v>0</v>
      </c>
      <c r="M21" s="19">
        <f t="shared" si="13"/>
        <v>0</v>
      </c>
      <c r="N21" s="19">
        <f t="shared" si="1"/>
        <v>0</v>
      </c>
      <c r="O21" s="19">
        <f t="shared" si="2"/>
        <v>0</v>
      </c>
      <c r="P21" s="19">
        <f t="shared" si="3"/>
        <v>0</v>
      </c>
      <c r="Q21" s="19">
        <f t="shared" si="4"/>
        <v>0</v>
      </c>
      <c r="R21" s="19">
        <f t="shared" si="5"/>
        <v>0</v>
      </c>
      <c r="S21" s="34">
        <f t="shared" si="6"/>
        <v>0</v>
      </c>
    </row>
    <row r="22" spans="1:19" s="20" customFormat="1" ht="14.25" customHeight="1" x14ac:dyDescent="0.25">
      <c r="A22" s="45" t="s">
        <v>56</v>
      </c>
      <c r="B22" s="43">
        <v>98</v>
      </c>
      <c r="C22" s="8">
        <f t="shared" si="7"/>
        <v>1121</v>
      </c>
      <c r="D22" s="6">
        <f t="shared" si="8"/>
        <v>21168</v>
      </c>
      <c r="E22" s="6">
        <f t="shared" si="14"/>
        <v>242136</v>
      </c>
      <c r="F22" s="43">
        <v>0</v>
      </c>
      <c r="G22" s="8">
        <f t="shared" si="10"/>
        <v>0</v>
      </c>
      <c r="H22" s="43">
        <v>0</v>
      </c>
      <c r="I22" s="8">
        <f t="shared" si="11"/>
        <v>0</v>
      </c>
      <c r="J22" s="43">
        <v>0</v>
      </c>
      <c r="K22" s="8">
        <f t="shared" si="12"/>
        <v>0</v>
      </c>
      <c r="L22" s="19">
        <f t="shared" si="0"/>
        <v>0</v>
      </c>
      <c r="M22" s="19">
        <f t="shared" si="13"/>
        <v>0</v>
      </c>
      <c r="N22" s="19">
        <f t="shared" si="1"/>
        <v>0</v>
      </c>
      <c r="O22" s="19">
        <f t="shared" si="2"/>
        <v>0</v>
      </c>
      <c r="P22" s="19">
        <f t="shared" si="3"/>
        <v>0</v>
      </c>
      <c r="Q22" s="19">
        <f t="shared" si="4"/>
        <v>0</v>
      </c>
      <c r="R22" s="19">
        <f t="shared" si="5"/>
        <v>0</v>
      </c>
      <c r="S22" s="34">
        <f t="shared" si="6"/>
        <v>0</v>
      </c>
    </row>
    <row r="23" spans="1:19" s="20" customFormat="1" ht="14.25" customHeight="1" x14ac:dyDescent="0.25">
      <c r="A23" s="45" t="s">
        <v>57</v>
      </c>
      <c r="B23" s="43">
        <v>145</v>
      </c>
      <c r="C23" s="8">
        <f t="shared" si="7"/>
        <v>1266</v>
      </c>
      <c r="D23" s="6">
        <f t="shared" si="8"/>
        <v>31320</v>
      </c>
      <c r="E23" s="6">
        <f t="shared" si="14"/>
        <v>273456</v>
      </c>
      <c r="F23" s="43">
        <v>0</v>
      </c>
      <c r="G23" s="8">
        <f t="shared" si="10"/>
        <v>0</v>
      </c>
      <c r="H23" s="43">
        <v>0</v>
      </c>
      <c r="I23" s="8">
        <f t="shared" si="11"/>
        <v>0</v>
      </c>
      <c r="J23" s="43">
        <v>0</v>
      </c>
      <c r="K23" s="8">
        <f t="shared" si="12"/>
        <v>0</v>
      </c>
      <c r="L23" s="19">
        <f t="shared" si="0"/>
        <v>0</v>
      </c>
      <c r="M23" s="19">
        <f t="shared" si="13"/>
        <v>0</v>
      </c>
      <c r="N23" s="19">
        <f t="shared" si="1"/>
        <v>0</v>
      </c>
      <c r="O23" s="19">
        <f t="shared" si="2"/>
        <v>0</v>
      </c>
      <c r="P23" s="19">
        <f t="shared" si="3"/>
        <v>0</v>
      </c>
      <c r="Q23" s="19">
        <f t="shared" si="4"/>
        <v>0</v>
      </c>
      <c r="R23" s="19">
        <f t="shared" si="5"/>
        <v>0</v>
      </c>
      <c r="S23" s="34">
        <f t="shared" si="6"/>
        <v>0</v>
      </c>
    </row>
    <row r="24" spans="1:19" s="20" customFormat="1" ht="14.25" customHeight="1" x14ac:dyDescent="0.25">
      <c r="A24" s="45" t="s">
        <v>58</v>
      </c>
      <c r="B24" s="43">
        <v>131</v>
      </c>
      <c r="C24" s="8">
        <f t="shared" si="7"/>
        <v>1397</v>
      </c>
      <c r="D24" s="6">
        <f t="shared" si="8"/>
        <v>28296</v>
      </c>
      <c r="E24" s="6">
        <f t="shared" si="14"/>
        <v>301752</v>
      </c>
      <c r="F24" s="43">
        <v>0</v>
      </c>
      <c r="G24" s="8">
        <f t="shared" si="10"/>
        <v>0</v>
      </c>
      <c r="H24" s="43">
        <v>0</v>
      </c>
      <c r="I24" s="8">
        <f t="shared" si="11"/>
        <v>0</v>
      </c>
      <c r="J24" s="43">
        <v>0</v>
      </c>
      <c r="K24" s="8">
        <f t="shared" si="12"/>
        <v>0</v>
      </c>
      <c r="L24" s="19">
        <f t="shared" si="0"/>
        <v>0</v>
      </c>
      <c r="M24" s="19">
        <f t="shared" si="13"/>
        <v>0</v>
      </c>
      <c r="N24" s="19">
        <f t="shared" si="1"/>
        <v>0</v>
      </c>
      <c r="O24" s="19">
        <f t="shared" si="2"/>
        <v>0</v>
      </c>
      <c r="P24" s="19">
        <f t="shared" si="3"/>
        <v>0</v>
      </c>
      <c r="Q24" s="19">
        <f t="shared" si="4"/>
        <v>0</v>
      </c>
      <c r="R24" s="19">
        <f t="shared" si="5"/>
        <v>0</v>
      </c>
      <c r="S24" s="34">
        <f t="shared" si="6"/>
        <v>0</v>
      </c>
    </row>
    <row r="25" spans="1:19" s="20" customFormat="1" ht="14.25" customHeight="1" x14ac:dyDescent="0.25">
      <c r="A25" s="45" t="s">
        <v>59</v>
      </c>
      <c r="B25" s="43">
        <v>150</v>
      </c>
      <c r="C25" s="8">
        <f t="shared" si="7"/>
        <v>1547</v>
      </c>
      <c r="D25" s="6">
        <f t="shared" si="8"/>
        <v>32400</v>
      </c>
      <c r="E25" s="6">
        <f t="shared" si="14"/>
        <v>334152</v>
      </c>
      <c r="F25" s="43">
        <v>0</v>
      </c>
      <c r="G25" s="8">
        <f t="shared" si="10"/>
        <v>0</v>
      </c>
      <c r="H25" s="43">
        <v>0</v>
      </c>
      <c r="I25" s="8">
        <f t="shared" si="11"/>
        <v>0</v>
      </c>
      <c r="J25" s="43">
        <v>0</v>
      </c>
      <c r="K25" s="8">
        <f t="shared" si="12"/>
        <v>0</v>
      </c>
      <c r="L25" s="19">
        <f t="shared" si="0"/>
        <v>0</v>
      </c>
      <c r="M25" s="19">
        <f t="shared" si="13"/>
        <v>0</v>
      </c>
      <c r="N25" s="19">
        <f t="shared" si="1"/>
        <v>0</v>
      </c>
      <c r="O25" s="19">
        <f t="shared" si="2"/>
        <v>0</v>
      </c>
      <c r="P25" s="19">
        <f t="shared" si="3"/>
        <v>0</v>
      </c>
      <c r="Q25" s="19">
        <f t="shared" si="4"/>
        <v>0</v>
      </c>
      <c r="R25" s="19">
        <f t="shared" si="5"/>
        <v>0</v>
      </c>
      <c r="S25" s="34">
        <f t="shared" si="6"/>
        <v>0</v>
      </c>
    </row>
    <row r="26" spans="1:19" s="20" customFormat="1" ht="14.25" customHeight="1" x14ac:dyDescent="0.25">
      <c r="A26" s="45" t="s">
        <v>60</v>
      </c>
      <c r="B26" s="43">
        <v>168</v>
      </c>
      <c r="C26" s="8">
        <f t="shared" si="7"/>
        <v>1715</v>
      </c>
      <c r="D26" s="6">
        <f t="shared" si="8"/>
        <v>36288</v>
      </c>
      <c r="E26" s="6">
        <f t="shared" si="14"/>
        <v>370440</v>
      </c>
      <c r="F26" s="43">
        <v>0</v>
      </c>
      <c r="G26" s="8">
        <f t="shared" si="10"/>
        <v>0</v>
      </c>
      <c r="H26" s="43">
        <v>0</v>
      </c>
      <c r="I26" s="8">
        <f t="shared" si="11"/>
        <v>0</v>
      </c>
      <c r="J26" s="43">
        <v>0</v>
      </c>
      <c r="K26" s="8">
        <f t="shared" si="12"/>
        <v>0</v>
      </c>
      <c r="L26" s="19">
        <f t="shared" si="0"/>
        <v>0</v>
      </c>
      <c r="M26" s="19">
        <f t="shared" si="13"/>
        <v>0</v>
      </c>
      <c r="N26" s="19">
        <f t="shared" si="1"/>
        <v>0</v>
      </c>
      <c r="O26" s="19">
        <f t="shared" si="2"/>
        <v>0</v>
      </c>
      <c r="P26" s="19">
        <f t="shared" si="3"/>
        <v>0</v>
      </c>
      <c r="Q26" s="19">
        <f t="shared" si="4"/>
        <v>0</v>
      </c>
      <c r="R26" s="19">
        <f t="shared" si="5"/>
        <v>0</v>
      </c>
      <c r="S26" s="34">
        <f t="shared" si="6"/>
        <v>0</v>
      </c>
    </row>
    <row r="27" spans="1:19" s="20" customFormat="1" ht="14.25" customHeight="1" x14ac:dyDescent="0.25">
      <c r="A27" s="45" t="s">
        <v>61</v>
      </c>
      <c r="B27" s="43">
        <v>185</v>
      </c>
      <c r="C27" s="8">
        <f t="shared" si="7"/>
        <v>1900</v>
      </c>
      <c r="D27" s="6">
        <f t="shared" si="8"/>
        <v>39960</v>
      </c>
      <c r="E27" s="6">
        <f t="shared" si="14"/>
        <v>410400</v>
      </c>
      <c r="F27" s="43">
        <v>0</v>
      </c>
      <c r="G27" s="8">
        <f t="shared" si="10"/>
        <v>0</v>
      </c>
      <c r="H27" s="43">
        <v>0</v>
      </c>
      <c r="I27" s="8">
        <f t="shared" si="11"/>
        <v>0</v>
      </c>
      <c r="J27" s="43">
        <v>0</v>
      </c>
      <c r="K27" s="8">
        <f t="shared" si="12"/>
        <v>0</v>
      </c>
      <c r="L27" s="19">
        <f t="shared" si="0"/>
        <v>0</v>
      </c>
      <c r="M27" s="19">
        <f t="shared" si="13"/>
        <v>0</v>
      </c>
      <c r="N27" s="19">
        <f t="shared" si="1"/>
        <v>0</v>
      </c>
      <c r="O27" s="19">
        <f t="shared" si="2"/>
        <v>0</v>
      </c>
      <c r="P27" s="19">
        <f t="shared" si="3"/>
        <v>0</v>
      </c>
      <c r="Q27" s="19">
        <f t="shared" si="4"/>
        <v>0</v>
      </c>
      <c r="R27" s="19">
        <f t="shared" si="5"/>
        <v>0</v>
      </c>
      <c r="S27" s="34">
        <f t="shared" si="6"/>
        <v>0</v>
      </c>
    </row>
    <row r="28" spans="1:19" s="20" customFormat="1" ht="14.25" customHeight="1" x14ac:dyDescent="0.25">
      <c r="A28" s="45" t="s">
        <v>62</v>
      </c>
      <c r="B28" s="43">
        <v>197</v>
      </c>
      <c r="C28" s="8">
        <f t="shared" si="7"/>
        <v>2097</v>
      </c>
      <c r="D28" s="6">
        <f t="shared" si="8"/>
        <v>42552</v>
      </c>
      <c r="E28" s="6">
        <f t="shared" si="14"/>
        <v>452952</v>
      </c>
      <c r="F28" s="43">
        <v>0</v>
      </c>
      <c r="G28" s="8">
        <f t="shared" si="10"/>
        <v>0</v>
      </c>
      <c r="H28" s="43">
        <v>0</v>
      </c>
      <c r="I28" s="8">
        <f t="shared" si="11"/>
        <v>0</v>
      </c>
      <c r="J28" s="43">
        <v>0</v>
      </c>
      <c r="K28" s="8">
        <f t="shared" si="12"/>
        <v>0</v>
      </c>
      <c r="L28" s="19">
        <f t="shared" si="0"/>
        <v>0</v>
      </c>
      <c r="M28" s="19">
        <f t="shared" si="13"/>
        <v>0</v>
      </c>
      <c r="N28" s="19">
        <f t="shared" si="1"/>
        <v>0</v>
      </c>
      <c r="O28" s="19">
        <f t="shared" si="2"/>
        <v>0</v>
      </c>
      <c r="P28" s="19">
        <f t="shared" si="3"/>
        <v>0</v>
      </c>
      <c r="Q28" s="19">
        <f t="shared" si="4"/>
        <v>0</v>
      </c>
      <c r="R28" s="19">
        <f t="shared" si="5"/>
        <v>0</v>
      </c>
      <c r="S28" s="34">
        <f t="shared" si="6"/>
        <v>0</v>
      </c>
    </row>
    <row r="29" spans="1:19" s="20" customFormat="1" ht="14.25" customHeight="1" x14ac:dyDescent="0.25">
      <c r="A29" s="45" t="s">
        <v>63</v>
      </c>
      <c r="B29" s="43">
        <v>202</v>
      </c>
      <c r="C29" s="8">
        <f t="shared" si="7"/>
        <v>2299</v>
      </c>
      <c r="D29" s="6">
        <f t="shared" si="8"/>
        <v>43632</v>
      </c>
      <c r="E29" s="6">
        <f t="shared" si="14"/>
        <v>496584</v>
      </c>
      <c r="F29" s="43">
        <v>0</v>
      </c>
      <c r="G29" s="8">
        <f t="shared" si="10"/>
        <v>0</v>
      </c>
      <c r="H29" s="43">
        <v>0</v>
      </c>
      <c r="I29" s="8">
        <f t="shared" si="11"/>
        <v>0</v>
      </c>
      <c r="J29" s="43">
        <v>0</v>
      </c>
      <c r="K29" s="8">
        <f t="shared" si="12"/>
        <v>0</v>
      </c>
      <c r="L29" s="19">
        <f t="shared" si="0"/>
        <v>0</v>
      </c>
      <c r="M29" s="19">
        <f t="shared" si="13"/>
        <v>0</v>
      </c>
      <c r="N29" s="19">
        <f t="shared" si="1"/>
        <v>0</v>
      </c>
      <c r="O29" s="19">
        <f t="shared" si="2"/>
        <v>0</v>
      </c>
      <c r="P29" s="19">
        <f t="shared" si="3"/>
        <v>0</v>
      </c>
      <c r="Q29" s="19">
        <f t="shared" si="4"/>
        <v>0</v>
      </c>
      <c r="R29" s="19">
        <f t="shared" si="5"/>
        <v>0</v>
      </c>
      <c r="S29" s="34">
        <f t="shared" si="6"/>
        <v>0</v>
      </c>
    </row>
    <row r="30" spans="1:19" s="20" customFormat="1" ht="14.25" customHeight="1" x14ac:dyDescent="0.25">
      <c r="A30" s="45" t="s">
        <v>64</v>
      </c>
      <c r="B30" s="43">
        <v>196</v>
      </c>
      <c r="C30" s="8">
        <f t="shared" si="7"/>
        <v>2495</v>
      </c>
      <c r="D30" s="6">
        <f t="shared" si="8"/>
        <v>42336</v>
      </c>
      <c r="E30" s="6">
        <f t="shared" si="14"/>
        <v>538920</v>
      </c>
      <c r="F30" s="43">
        <v>0</v>
      </c>
      <c r="G30" s="8">
        <f t="shared" si="10"/>
        <v>0</v>
      </c>
      <c r="H30" s="43">
        <v>0</v>
      </c>
      <c r="I30" s="8">
        <f t="shared" si="11"/>
        <v>0</v>
      </c>
      <c r="J30" s="43">
        <v>0</v>
      </c>
      <c r="K30" s="8">
        <f t="shared" si="12"/>
        <v>0</v>
      </c>
      <c r="L30" s="19">
        <f t="shared" si="0"/>
        <v>0</v>
      </c>
      <c r="M30" s="19">
        <f t="shared" si="13"/>
        <v>0</v>
      </c>
      <c r="N30" s="19">
        <f t="shared" si="1"/>
        <v>0</v>
      </c>
      <c r="O30" s="19">
        <f t="shared" si="2"/>
        <v>0</v>
      </c>
      <c r="P30" s="19">
        <f t="shared" si="3"/>
        <v>0</v>
      </c>
      <c r="Q30" s="19">
        <f t="shared" si="4"/>
        <v>0</v>
      </c>
      <c r="R30" s="19">
        <f t="shared" si="5"/>
        <v>0</v>
      </c>
      <c r="S30" s="34">
        <f t="shared" si="6"/>
        <v>0</v>
      </c>
    </row>
    <row r="31" spans="1:19" s="20" customFormat="1" ht="14.25" customHeight="1" x14ac:dyDescent="0.25">
      <c r="A31" s="45" t="s">
        <v>65</v>
      </c>
      <c r="B31" s="43">
        <v>161</v>
      </c>
      <c r="C31" s="8">
        <f t="shared" si="7"/>
        <v>2656</v>
      </c>
      <c r="D31" s="6">
        <f t="shared" si="8"/>
        <v>34776</v>
      </c>
      <c r="E31" s="6">
        <f t="shared" si="14"/>
        <v>573696</v>
      </c>
      <c r="F31" s="43">
        <v>0</v>
      </c>
      <c r="G31" s="8">
        <f t="shared" si="10"/>
        <v>0</v>
      </c>
      <c r="H31" s="43">
        <v>0</v>
      </c>
      <c r="I31" s="8">
        <f t="shared" si="11"/>
        <v>0</v>
      </c>
      <c r="J31" s="43">
        <v>0</v>
      </c>
      <c r="K31" s="8">
        <f t="shared" si="12"/>
        <v>0</v>
      </c>
      <c r="L31" s="19">
        <f t="shared" si="0"/>
        <v>0</v>
      </c>
      <c r="M31" s="19">
        <f t="shared" si="13"/>
        <v>0</v>
      </c>
      <c r="N31" s="19">
        <f t="shared" si="1"/>
        <v>0</v>
      </c>
      <c r="O31" s="19">
        <f t="shared" si="2"/>
        <v>0</v>
      </c>
      <c r="P31" s="19">
        <f t="shared" si="3"/>
        <v>0</v>
      </c>
      <c r="Q31" s="19">
        <f t="shared" si="4"/>
        <v>0</v>
      </c>
      <c r="R31" s="19">
        <f t="shared" si="5"/>
        <v>0</v>
      </c>
      <c r="S31" s="34">
        <f t="shared" si="6"/>
        <v>0</v>
      </c>
    </row>
    <row r="32" spans="1:19" s="20" customFormat="1" ht="14.25" customHeight="1" x14ac:dyDescent="0.25">
      <c r="A32" s="45" t="s">
        <v>66</v>
      </c>
      <c r="B32" s="43">
        <v>159</v>
      </c>
      <c r="C32" s="8">
        <f t="shared" si="7"/>
        <v>2815</v>
      </c>
      <c r="D32" s="6">
        <f t="shared" si="8"/>
        <v>34344</v>
      </c>
      <c r="E32" s="6">
        <f t="shared" si="14"/>
        <v>608040</v>
      </c>
      <c r="F32" s="43">
        <v>0</v>
      </c>
      <c r="G32" s="8">
        <f t="shared" si="10"/>
        <v>0</v>
      </c>
      <c r="H32" s="43">
        <v>0</v>
      </c>
      <c r="I32" s="8">
        <f t="shared" si="11"/>
        <v>0</v>
      </c>
      <c r="J32" s="43">
        <v>0</v>
      </c>
      <c r="K32" s="8">
        <f t="shared" si="12"/>
        <v>0</v>
      </c>
      <c r="L32" s="19">
        <f t="shared" si="0"/>
        <v>0</v>
      </c>
      <c r="M32" s="19">
        <f t="shared" si="13"/>
        <v>0</v>
      </c>
      <c r="N32" s="19">
        <f t="shared" si="1"/>
        <v>0</v>
      </c>
      <c r="O32" s="19">
        <f t="shared" si="2"/>
        <v>0</v>
      </c>
      <c r="P32" s="19">
        <f t="shared" si="3"/>
        <v>0</v>
      </c>
      <c r="Q32" s="19">
        <f t="shared" si="4"/>
        <v>0</v>
      </c>
      <c r="R32" s="19">
        <f t="shared" si="5"/>
        <v>0</v>
      </c>
      <c r="S32" s="34">
        <f t="shared" si="6"/>
        <v>0</v>
      </c>
    </row>
    <row r="33" spans="1:122" s="20" customFormat="1" ht="14.25" customHeight="1" x14ac:dyDescent="0.25">
      <c r="A33" s="45" t="s">
        <v>67</v>
      </c>
      <c r="B33" s="43">
        <v>131</v>
      </c>
      <c r="C33" s="8">
        <f t="shared" si="7"/>
        <v>2946</v>
      </c>
      <c r="D33" s="6">
        <f t="shared" si="8"/>
        <v>28296</v>
      </c>
      <c r="E33" s="6">
        <f t="shared" si="14"/>
        <v>636336</v>
      </c>
      <c r="F33" s="43">
        <v>0</v>
      </c>
      <c r="G33" s="8">
        <f t="shared" si="10"/>
        <v>0</v>
      </c>
      <c r="H33" s="43">
        <v>0</v>
      </c>
      <c r="I33" s="8">
        <f t="shared" si="11"/>
        <v>0</v>
      </c>
      <c r="J33" s="43">
        <v>0</v>
      </c>
      <c r="K33" s="8">
        <f t="shared" si="12"/>
        <v>0</v>
      </c>
      <c r="L33" s="19">
        <f t="shared" si="0"/>
        <v>0</v>
      </c>
      <c r="M33" s="19">
        <f t="shared" si="13"/>
        <v>0</v>
      </c>
      <c r="N33" s="19">
        <f t="shared" si="1"/>
        <v>0</v>
      </c>
      <c r="O33" s="19">
        <f t="shared" si="2"/>
        <v>0</v>
      </c>
      <c r="P33" s="19">
        <f t="shared" si="3"/>
        <v>0</v>
      </c>
      <c r="Q33" s="19">
        <f t="shared" si="4"/>
        <v>0</v>
      </c>
      <c r="R33" s="19">
        <f t="shared" si="5"/>
        <v>0</v>
      </c>
      <c r="S33" s="34">
        <f t="shared" si="6"/>
        <v>0</v>
      </c>
    </row>
    <row r="34" spans="1:122" s="20" customFormat="1" ht="14.25" customHeight="1" x14ac:dyDescent="0.25">
      <c r="A34" s="45" t="s">
        <v>68</v>
      </c>
      <c r="B34" s="43">
        <v>130</v>
      </c>
      <c r="C34" s="8">
        <f t="shared" si="7"/>
        <v>3076</v>
      </c>
      <c r="D34" s="6">
        <f t="shared" si="8"/>
        <v>28080</v>
      </c>
      <c r="E34" s="6">
        <f t="shared" si="14"/>
        <v>664416</v>
      </c>
      <c r="F34" s="43">
        <v>0</v>
      </c>
      <c r="G34" s="8">
        <f t="shared" si="10"/>
        <v>0</v>
      </c>
      <c r="H34" s="43">
        <v>0</v>
      </c>
      <c r="I34" s="8">
        <f t="shared" si="11"/>
        <v>0</v>
      </c>
      <c r="J34" s="43">
        <v>0</v>
      </c>
      <c r="K34" s="8">
        <f t="shared" si="12"/>
        <v>0</v>
      </c>
      <c r="L34" s="19">
        <f t="shared" si="0"/>
        <v>0</v>
      </c>
      <c r="M34" s="19">
        <f t="shared" si="13"/>
        <v>0</v>
      </c>
      <c r="N34" s="19">
        <f t="shared" si="1"/>
        <v>0</v>
      </c>
      <c r="O34" s="19">
        <f t="shared" si="2"/>
        <v>0</v>
      </c>
      <c r="P34" s="19">
        <f t="shared" si="3"/>
        <v>0</v>
      </c>
      <c r="Q34" s="19">
        <f t="shared" si="4"/>
        <v>0</v>
      </c>
      <c r="R34" s="19">
        <f t="shared" si="5"/>
        <v>0</v>
      </c>
      <c r="S34" s="34">
        <f t="shared" si="6"/>
        <v>0</v>
      </c>
    </row>
    <row r="35" spans="1:122" s="21" customFormat="1" ht="14.25" customHeight="1" x14ac:dyDescent="0.25">
      <c r="A35" s="45" t="s">
        <v>69</v>
      </c>
      <c r="B35" s="43">
        <v>126</v>
      </c>
      <c r="C35" s="8">
        <f t="shared" si="7"/>
        <v>3202</v>
      </c>
      <c r="D35" s="6">
        <f t="shared" si="8"/>
        <v>27216</v>
      </c>
      <c r="E35" s="6">
        <f t="shared" si="14"/>
        <v>691632</v>
      </c>
      <c r="F35" s="43">
        <v>0</v>
      </c>
      <c r="G35" s="8">
        <f t="shared" si="10"/>
        <v>0</v>
      </c>
      <c r="H35" s="43">
        <v>0</v>
      </c>
      <c r="I35" s="8">
        <f t="shared" si="11"/>
        <v>0</v>
      </c>
      <c r="J35" s="43">
        <v>0</v>
      </c>
      <c r="K35" s="8">
        <f t="shared" si="12"/>
        <v>0</v>
      </c>
      <c r="L35" s="19">
        <f t="shared" si="0"/>
        <v>0</v>
      </c>
      <c r="M35" s="19">
        <f t="shared" si="13"/>
        <v>0</v>
      </c>
      <c r="N35" s="19">
        <f t="shared" si="1"/>
        <v>0</v>
      </c>
      <c r="O35" s="19">
        <f t="shared" si="2"/>
        <v>0</v>
      </c>
      <c r="P35" s="19">
        <f t="shared" si="3"/>
        <v>0</v>
      </c>
      <c r="Q35" s="19">
        <f t="shared" si="4"/>
        <v>0</v>
      </c>
      <c r="R35" s="19">
        <f t="shared" si="5"/>
        <v>0</v>
      </c>
      <c r="S35" s="34">
        <f t="shared" si="6"/>
        <v>0</v>
      </c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</row>
    <row r="36" spans="1:122" s="22" customFormat="1" ht="14.25" customHeight="1" x14ac:dyDescent="0.25">
      <c r="A36" s="45" t="s">
        <v>70</v>
      </c>
      <c r="B36" s="43">
        <v>104</v>
      </c>
      <c r="C36" s="8">
        <f t="shared" si="7"/>
        <v>3306</v>
      </c>
      <c r="D36" s="6">
        <f t="shared" si="8"/>
        <v>22464</v>
      </c>
      <c r="E36" s="6">
        <f t="shared" si="14"/>
        <v>714096</v>
      </c>
      <c r="F36" s="43">
        <v>0</v>
      </c>
      <c r="G36" s="8">
        <f t="shared" si="10"/>
        <v>0</v>
      </c>
      <c r="H36" s="43">
        <v>0</v>
      </c>
      <c r="I36" s="8">
        <f t="shared" si="11"/>
        <v>0</v>
      </c>
      <c r="J36" s="43">
        <v>0</v>
      </c>
      <c r="K36" s="8">
        <f t="shared" si="12"/>
        <v>0</v>
      </c>
      <c r="L36" s="19">
        <f t="shared" si="0"/>
        <v>0</v>
      </c>
      <c r="M36" s="19">
        <f t="shared" si="13"/>
        <v>0</v>
      </c>
      <c r="N36" s="19">
        <f t="shared" si="1"/>
        <v>0</v>
      </c>
      <c r="O36" s="19">
        <f t="shared" si="2"/>
        <v>0</v>
      </c>
      <c r="P36" s="19">
        <f t="shared" si="3"/>
        <v>0</v>
      </c>
      <c r="Q36" s="19">
        <f t="shared" si="4"/>
        <v>0</v>
      </c>
      <c r="R36" s="19">
        <f t="shared" si="5"/>
        <v>0</v>
      </c>
      <c r="S36" s="34">
        <f t="shared" si="6"/>
        <v>0</v>
      </c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</row>
    <row r="37" spans="1:122" s="20" customFormat="1" ht="14.25" customHeight="1" x14ac:dyDescent="0.25">
      <c r="A37" s="46" t="s">
        <v>71</v>
      </c>
      <c r="B37" s="43">
        <v>91</v>
      </c>
      <c r="C37" s="8">
        <f t="shared" si="7"/>
        <v>3397</v>
      </c>
      <c r="D37" s="6">
        <f t="shared" si="8"/>
        <v>19656</v>
      </c>
      <c r="E37" s="6">
        <f t="shared" ref="E37:E42" si="15">IF(D37="","",D37+E36)</f>
        <v>733752</v>
      </c>
      <c r="F37" s="43">
        <v>0</v>
      </c>
      <c r="G37" s="8">
        <f t="shared" si="10"/>
        <v>0</v>
      </c>
      <c r="H37" s="43">
        <v>0</v>
      </c>
      <c r="I37" s="8">
        <f t="shared" si="11"/>
        <v>0</v>
      </c>
      <c r="J37" s="43">
        <v>0</v>
      </c>
      <c r="K37" s="8">
        <f t="shared" si="12"/>
        <v>0</v>
      </c>
      <c r="L37" s="19">
        <f t="shared" si="0"/>
        <v>0</v>
      </c>
      <c r="M37" s="19">
        <f t="shared" si="13"/>
        <v>0</v>
      </c>
      <c r="N37" s="19">
        <f t="shared" si="1"/>
        <v>0</v>
      </c>
      <c r="O37" s="19">
        <f t="shared" si="2"/>
        <v>0</v>
      </c>
      <c r="P37" s="19">
        <f t="shared" si="3"/>
        <v>0</v>
      </c>
      <c r="Q37" s="19">
        <f t="shared" si="4"/>
        <v>0</v>
      </c>
      <c r="R37" s="19">
        <f t="shared" si="5"/>
        <v>0</v>
      </c>
      <c r="S37" s="34">
        <f t="shared" si="6"/>
        <v>0</v>
      </c>
    </row>
    <row r="38" spans="1:122" s="20" customFormat="1" ht="14.25" customHeight="1" x14ac:dyDescent="0.25">
      <c r="A38" s="45"/>
      <c r="B38" s="43"/>
      <c r="C38" s="8" t="str">
        <f t="shared" si="7"/>
        <v/>
      </c>
      <c r="D38" s="6">
        <f t="shared" si="8"/>
        <v>0</v>
      </c>
      <c r="E38" s="6">
        <f t="shared" si="15"/>
        <v>733752</v>
      </c>
      <c r="F38" s="43"/>
      <c r="G38" s="8" t="str">
        <f t="shared" si="10"/>
        <v/>
      </c>
      <c r="H38" s="43"/>
      <c r="I38" s="8" t="str">
        <f t="shared" si="11"/>
        <v/>
      </c>
      <c r="J38" s="43"/>
      <c r="K38" s="8" t="str">
        <f t="shared" si="12"/>
        <v/>
      </c>
      <c r="L38" s="19" t="str">
        <f t="shared" si="0"/>
        <v/>
      </c>
      <c r="M38" s="19" t="str">
        <f t="shared" si="13"/>
        <v/>
      </c>
      <c r="N38" s="19" t="str">
        <f t="shared" si="1"/>
        <v/>
      </c>
      <c r="O38" s="19" t="str">
        <f t="shared" si="2"/>
        <v/>
      </c>
      <c r="P38" s="19" t="str">
        <f t="shared" si="3"/>
        <v/>
      </c>
      <c r="Q38" s="19" t="str">
        <f t="shared" si="4"/>
        <v/>
      </c>
      <c r="R38" s="19" t="str">
        <f t="shared" si="5"/>
        <v/>
      </c>
      <c r="S38" s="34" t="str">
        <f t="shared" si="6"/>
        <v/>
      </c>
    </row>
    <row r="39" spans="1:122" s="20" customFormat="1" ht="14.25" customHeight="1" x14ac:dyDescent="0.25">
      <c r="A39" s="45"/>
      <c r="B39" s="43"/>
      <c r="C39" s="8" t="str">
        <f t="shared" si="7"/>
        <v/>
      </c>
      <c r="D39" s="6">
        <f t="shared" si="8"/>
        <v>0</v>
      </c>
      <c r="E39" s="6">
        <f t="shared" si="15"/>
        <v>733752</v>
      </c>
      <c r="F39" s="43"/>
      <c r="G39" s="8" t="str">
        <f t="shared" si="10"/>
        <v/>
      </c>
      <c r="H39" s="43"/>
      <c r="I39" s="8" t="str">
        <f t="shared" si="11"/>
        <v/>
      </c>
      <c r="J39" s="43"/>
      <c r="K39" s="8" t="str">
        <f t="shared" si="12"/>
        <v/>
      </c>
      <c r="L39" s="19" t="str">
        <f t="shared" si="0"/>
        <v/>
      </c>
      <c r="M39" s="19" t="str">
        <f t="shared" si="13"/>
        <v/>
      </c>
      <c r="N39" s="19" t="str">
        <f t="shared" si="1"/>
        <v/>
      </c>
      <c r="O39" s="19" t="str">
        <f t="shared" si="2"/>
        <v/>
      </c>
      <c r="P39" s="19" t="str">
        <f t="shared" si="3"/>
        <v/>
      </c>
      <c r="Q39" s="19" t="str">
        <f t="shared" ref="P39:Q42" si="16">IFERROR(IF(E39="","",(K39*1000/E39)),"")</f>
        <v/>
      </c>
      <c r="R39" s="19" t="str">
        <f t="shared" ref="R39:S42" si="17">IF(B39="","",IF((F39+H39)=0,0,(J39)/(F39+H39)))</f>
        <v/>
      </c>
      <c r="S39" s="34" t="str">
        <f t="shared" si="6"/>
        <v/>
      </c>
    </row>
    <row r="40" spans="1:122" s="20" customFormat="1" ht="14.25" customHeight="1" x14ac:dyDescent="0.25">
      <c r="A40" s="45"/>
      <c r="B40" s="43"/>
      <c r="C40" s="8" t="str">
        <f t="shared" si="7"/>
        <v/>
      </c>
      <c r="D40" s="6">
        <f t="shared" si="8"/>
        <v>0</v>
      </c>
      <c r="E40" s="6">
        <f t="shared" si="15"/>
        <v>733752</v>
      </c>
      <c r="F40" s="43"/>
      <c r="G40" s="8" t="str">
        <f t="shared" si="10"/>
        <v/>
      </c>
      <c r="H40" s="43"/>
      <c r="I40" s="8" t="str">
        <f t="shared" si="11"/>
        <v/>
      </c>
      <c r="J40" s="43"/>
      <c r="K40" s="8" t="str">
        <f>IF(C40="","",J40+K39)</f>
        <v/>
      </c>
      <c r="L40" s="19" t="str">
        <f t="shared" ref="L40:M42" si="18">IF(B40="","",(F40+H40)*1000/B40)</f>
        <v/>
      </c>
      <c r="M40" s="19" t="str">
        <f t="shared" si="13"/>
        <v/>
      </c>
      <c r="N40" s="19" t="str">
        <f t="shared" si="1"/>
        <v/>
      </c>
      <c r="O40" s="19" t="str">
        <f t="shared" si="2"/>
        <v/>
      </c>
      <c r="P40" s="19" t="str">
        <f t="shared" si="16"/>
        <v/>
      </c>
      <c r="Q40" s="19" t="str">
        <f t="shared" si="16"/>
        <v/>
      </c>
      <c r="R40" s="19" t="str">
        <f t="shared" si="17"/>
        <v/>
      </c>
      <c r="S40" s="34" t="str">
        <f t="shared" si="17"/>
        <v/>
      </c>
    </row>
    <row r="41" spans="1:122" s="20" customFormat="1" ht="14.25" customHeight="1" x14ac:dyDescent="0.25">
      <c r="A41" s="45"/>
      <c r="B41" s="43"/>
      <c r="C41" s="6" t="str">
        <f>IF(B41="","",B41+C40)</f>
        <v/>
      </c>
      <c r="D41" s="6">
        <f t="shared" si="8"/>
        <v>0</v>
      </c>
      <c r="E41" s="6">
        <f t="shared" si="15"/>
        <v>733752</v>
      </c>
      <c r="F41" s="43"/>
      <c r="G41" s="8" t="str">
        <f>IF(C41="","",F41+G40)</f>
        <v/>
      </c>
      <c r="H41" s="43"/>
      <c r="I41" s="8" t="str">
        <f t="shared" si="11"/>
        <v/>
      </c>
      <c r="J41" s="43"/>
      <c r="K41" s="8" t="str">
        <f>IF(C41="","",J41+K40)</f>
        <v/>
      </c>
      <c r="L41" s="19" t="str">
        <f t="shared" si="18"/>
        <v/>
      </c>
      <c r="M41" s="19" t="str">
        <f t="shared" si="18"/>
        <v/>
      </c>
      <c r="N41" s="19" t="str">
        <f>IFERROR(IF(D41="","",(F41+H41)*1000000/D41),"")</f>
        <v/>
      </c>
      <c r="O41" s="19" t="str">
        <f t="shared" si="2"/>
        <v/>
      </c>
      <c r="P41" s="19" t="str">
        <f t="shared" si="16"/>
        <v/>
      </c>
      <c r="Q41" s="19" t="str">
        <f t="shared" si="16"/>
        <v/>
      </c>
      <c r="R41" s="19" t="str">
        <f t="shared" si="17"/>
        <v/>
      </c>
      <c r="S41" s="34" t="str">
        <f t="shared" si="17"/>
        <v/>
      </c>
    </row>
    <row r="42" spans="1:122" s="23" customFormat="1" ht="14.25" customHeight="1" thickBot="1" x14ac:dyDescent="0.3">
      <c r="A42" s="47"/>
      <c r="B42" s="44"/>
      <c r="C42" s="35" t="str">
        <f>IF(B42="","",B42+C41)</f>
        <v/>
      </c>
      <c r="D42" s="35">
        <f t="shared" si="8"/>
        <v>0</v>
      </c>
      <c r="E42" s="35">
        <f t="shared" si="15"/>
        <v>733752</v>
      </c>
      <c r="F42" s="44"/>
      <c r="G42" s="36" t="str">
        <f>IF(C42="","",F42+G41)</f>
        <v/>
      </c>
      <c r="H42" s="44"/>
      <c r="I42" s="36" t="str">
        <f>IF(C42="","",H42+I41)</f>
        <v/>
      </c>
      <c r="J42" s="44"/>
      <c r="K42" s="36" t="str">
        <f>IF(C42="","",J42+K41)</f>
        <v/>
      </c>
      <c r="L42" s="37" t="str">
        <f t="shared" si="18"/>
        <v/>
      </c>
      <c r="M42" s="37" t="str">
        <f t="shared" si="18"/>
        <v/>
      </c>
      <c r="N42" s="37" t="str">
        <f>IFERROR(IF(D42="","",(F42+H42)*1000000/D42),"")</f>
        <v/>
      </c>
      <c r="O42" s="37" t="str">
        <f>IFERROR(IF(E42="","",(G42+I42)*1000000/E42),"")</f>
        <v/>
      </c>
      <c r="P42" s="37" t="str">
        <f t="shared" si="16"/>
        <v/>
      </c>
      <c r="Q42" s="37" t="str">
        <f t="shared" si="16"/>
        <v/>
      </c>
      <c r="R42" s="37" t="str">
        <f t="shared" si="17"/>
        <v/>
      </c>
      <c r="S42" s="38" t="str">
        <f t="shared" si="17"/>
        <v/>
      </c>
    </row>
    <row r="43" spans="1:122" s="23" customFormat="1" ht="14.25" customHeight="1" x14ac:dyDescent="0.25">
      <c r="A43" s="2"/>
      <c r="B43" s="24"/>
      <c r="C43" s="24"/>
      <c r="D43" s="24"/>
      <c r="E43" s="24"/>
      <c r="F43" s="24"/>
      <c r="G43" s="24"/>
      <c r="N43" s="25"/>
      <c r="P43" s="25"/>
      <c r="Q43" s="25"/>
      <c r="R43" s="25"/>
    </row>
    <row r="44" spans="1:122" s="23" customFormat="1" ht="11.25" customHeight="1" thickBot="1" x14ac:dyDescent="0.3">
      <c r="A44" s="2"/>
      <c r="B44" s="24"/>
      <c r="C44" s="24"/>
      <c r="D44" s="24"/>
      <c r="E44" s="24"/>
      <c r="F44" s="24"/>
      <c r="G44" s="24"/>
      <c r="N44" s="25"/>
      <c r="P44" s="25"/>
      <c r="Q44" s="25"/>
      <c r="R44" s="25"/>
    </row>
    <row r="45" spans="1:122" s="23" customFormat="1" ht="14.25" customHeight="1" thickBot="1" x14ac:dyDescent="0.3">
      <c r="A45" s="101" t="s">
        <v>24</v>
      </c>
      <c r="B45" s="102"/>
      <c r="C45" s="102"/>
      <c r="D45" s="103"/>
      <c r="E45" s="24"/>
      <c r="F45" s="110" t="s">
        <v>25</v>
      </c>
      <c r="G45" s="111"/>
      <c r="H45" s="111"/>
      <c r="I45" s="111"/>
      <c r="J45" s="111"/>
      <c r="K45" s="111"/>
      <c r="L45" s="111"/>
      <c r="M45" s="62"/>
      <c r="N45" s="25"/>
      <c r="P45" s="25"/>
      <c r="Q45" s="25"/>
      <c r="R45" s="25"/>
    </row>
    <row r="46" spans="1:122" s="23" customFormat="1" ht="14.25" customHeight="1" thickBot="1" x14ac:dyDescent="0.3">
      <c r="A46" s="2"/>
      <c r="B46" s="26"/>
      <c r="C46" s="26"/>
      <c r="D46" s="26"/>
      <c r="E46" s="26"/>
      <c r="F46" s="27"/>
      <c r="G46" s="26"/>
      <c r="N46" s="25"/>
      <c r="P46" s="25"/>
      <c r="Q46" s="28"/>
      <c r="R46" s="29"/>
      <c r="S46" s="30"/>
    </row>
    <row r="47" spans="1:122" s="23" customFormat="1" ht="14.25" customHeight="1" thickBot="1" x14ac:dyDescent="0.35">
      <c r="A47" s="108" t="s">
        <v>9</v>
      </c>
      <c r="B47" s="109"/>
      <c r="C47" s="61" t="s">
        <v>26</v>
      </c>
      <c r="D47" s="62"/>
      <c r="E47" s="31"/>
      <c r="F47" s="49" t="s">
        <v>6</v>
      </c>
      <c r="G47" s="106" t="s">
        <v>31</v>
      </c>
      <c r="H47" s="107"/>
      <c r="I47" s="32"/>
      <c r="J47" s="56" t="s">
        <v>32</v>
      </c>
      <c r="K47" s="57"/>
      <c r="L47" s="57" t="s">
        <v>31</v>
      </c>
      <c r="M47" s="58"/>
      <c r="N47" s="25"/>
      <c r="P47" s="25"/>
      <c r="Q47" s="25"/>
      <c r="R47" s="25"/>
    </row>
    <row r="48" spans="1:122" s="23" customFormat="1" ht="6.75" customHeight="1" thickBot="1" x14ac:dyDescent="0.3">
      <c r="A48" s="70"/>
      <c r="B48" s="70"/>
      <c r="C48" s="112"/>
      <c r="D48" s="112"/>
      <c r="E48" s="10"/>
      <c r="F48" s="10"/>
      <c r="G48" s="10"/>
      <c r="H48" s="10"/>
      <c r="I48" s="10"/>
      <c r="J48" s="10"/>
      <c r="K48" s="10"/>
      <c r="L48" s="10"/>
      <c r="M48" s="10"/>
      <c r="N48" s="33"/>
      <c r="O48" s="10"/>
      <c r="P48" s="29"/>
      <c r="Q48" s="28"/>
      <c r="R48" s="29"/>
      <c r="S48" s="30"/>
    </row>
    <row r="49" spans="1:21" s="23" customFormat="1" ht="14.25" customHeight="1" x14ac:dyDescent="0.25">
      <c r="A49" s="63" t="s">
        <v>27</v>
      </c>
      <c r="B49" s="64"/>
      <c r="C49" s="104">
        <f>VLOOKUP($B$3,A7:S42,15,0)</f>
        <v>0</v>
      </c>
      <c r="D49" s="105"/>
      <c r="F49" s="11" t="s">
        <v>0</v>
      </c>
      <c r="G49" s="75" t="s">
        <v>33</v>
      </c>
      <c r="H49" s="76"/>
      <c r="J49" s="73" t="s">
        <v>7</v>
      </c>
      <c r="K49" s="74"/>
      <c r="L49" s="75" t="s">
        <v>33</v>
      </c>
      <c r="M49" s="76"/>
      <c r="N49" s="25"/>
      <c r="P49" s="25"/>
      <c r="Q49" s="25"/>
      <c r="R49" s="25"/>
      <c r="U49" s="30"/>
    </row>
    <row r="50" spans="1:21" s="23" customFormat="1" ht="14.25" customHeight="1" x14ac:dyDescent="0.25">
      <c r="A50" s="50" t="s">
        <v>28</v>
      </c>
      <c r="B50" s="51"/>
      <c r="C50" s="99">
        <f>VLOOKUP($B$3,A7:S42,17,0)</f>
        <v>0</v>
      </c>
      <c r="D50" s="100"/>
      <c r="E50" s="24"/>
      <c r="F50" s="9" t="s">
        <v>1</v>
      </c>
      <c r="G50" s="77" t="s">
        <v>34</v>
      </c>
      <c r="H50" s="78"/>
      <c r="J50" s="71" t="s">
        <v>8</v>
      </c>
      <c r="K50" s="72"/>
      <c r="L50" s="77" t="s">
        <v>34</v>
      </c>
      <c r="M50" s="78"/>
      <c r="N50" s="25"/>
      <c r="P50" s="25"/>
      <c r="Q50" s="25"/>
      <c r="R50" s="25"/>
    </row>
    <row r="51" spans="1:21" s="23" customFormat="1" ht="14.25" customHeight="1" x14ac:dyDescent="0.25">
      <c r="A51" s="50" t="s">
        <v>38</v>
      </c>
      <c r="B51" s="51"/>
      <c r="C51" s="54">
        <f>VLOOKUP($B$3,A7:S42,9,0)</f>
        <v>0</v>
      </c>
      <c r="D51" s="55"/>
      <c r="F51" s="40" t="s">
        <v>2</v>
      </c>
      <c r="G51" s="59" t="s">
        <v>35</v>
      </c>
      <c r="H51" s="60"/>
      <c r="J51" s="98" t="s">
        <v>5</v>
      </c>
      <c r="K51" s="72"/>
      <c r="L51" s="59" t="s">
        <v>35</v>
      </c>
      <c r="M51" s="60"/>
      <c r="N51" s="25"/>
      <c r="P51" s="25"/>
      <c r="Q51" s="25"/>
      <c r="R51" s="25"/>
    </row>
    <row r="52" spans="1:21" s="10" customFormat="1" ht="14.25" customHeight="1" thickBot="1" x14ac:dyDescent="0.3">
      <c r="A52" s="50" t="s">
        <v>29</v>
      </c>
      <c r="B52" s="51"/>
      <c r="C52" s="54">
        <f>VLOOKUP($B$3,A7:S42,7,0)</f>
        <v>0</v>
      </c>
      <c r="D52" s="55"/>
      <c r="F52" s="41" t="s">
        <v>3</v>
      </c>
      <c r="G52" s="87" t="s">
        <v>36</v>
      </c>
      <c r="H52" s="88"/>
      <c r="J52" s="89" t="s">
        <v>4</v>
      </c>
      <c r="K52" s="90"/>
      <c r="L52" s="87" t="s">
        <v>36</v>
      </c>
      <c r="M52" s="88"/>
      <c r="N52" s="28" t="s">
        <v>37</v>
      </c>
      <c r="O52" s="3"/>
      <c r="P52" s="4"/>
      <c r="Q52" s="33"/>
      <c r="R52" s="86"/>
      <c r="S52" s="86"/>
    </row>
    <row r="53" spans="1:21" ht="14.25" customHeight="1" thickBot="1" x14ac:dyDescent="0.3">
      <c r="A53" s="93" t="s">
        <v>30</v>
      </c>
      <c r="B53" s="94"/>
      <c r="C53" s="91">
        <f>VLOOKUP($B$3,A7:S42,11,0)</f>
        <v>0</v>
      </c>
      <c r="D53" s="92"/>
      <c r="E53" s="10"/>
      <c r="F53" s="10"/>
      <c r="G53" s="10"/>
      <c r="H53" s="10"/>
      <c r="I53" s="10"/>
      <c r="J53" s="10"/>
      <c r="K53" s="10"/>
      <c r="N53" s="33"/>
      <c r="O53" s="2"/>
      <c r="P53" s="28"/>
    </row>
  </sheetData>
  <sheetProtection sheet="1"/>
  <mergeCells count="45">
    <mergeCell ref="A52:B52"/>
    <mergeCell ref="C53:D53"/>
    <mergeCell ref="A53:B53"/>
    <mergeCell ref="B5:C5"/>
    <mergeCell ref="J5:K5"/>
    <mergeCell ref="F5:I5"/>
    <mergeCell ref="J51:K51"/>
    <mergeCell ref="C50:D50"/>
    <mergeCell ref="G50:H50"/>
    <mergeCell ref="G51:H51"/>
    <mergeCell ref="A45:D45"/>
    <mergeCell ref="C49:D49"/>
    <mergeCell ref="G47:H47"/>
    <mergeCell ref="A47:B47"/>
    <mergeCell ref="F45:M45"/>
    <mergeCell ref="C48:D48"/>
    <mergeCell ref="C52:D52"/>
    <mergeCell ref="R52:S52"/>
    <mergeCell ref="L52:M52"/>
    <mergeCell ref="J52:K52"/>
    <mergeCell ref="G52:H52"/>
    <mergeCell ref="R1:S1"/>
    <mergeCell ref="A48:B48"/>
    <mergeCell ref="J50:K50"/>
    <mergeCell ref="J49:K49"/>
    <mergeCell ref="G49:H49"/>
    <mergeCell ref="L50:M50"/>
    <mergeCell ref="L49:M49"/>
    <mergeCell ref="R5:S5"/>
    <mergeCell ref="B3:C3"/>
    <mergeCell ref="A1:C1"/>
    <mergeCell ref="D1:Q1"/>
    <mergeCell ref="N5:O5"/>
    <mergeCell ref="P5:Q5"/>
    <mergeCell ref="A51:B51"/>
    <mergeCell ref="D5:E5"/>
    <mergeCell ref="C51:D51"/>
    <mergeCell ref="J47:K47"/>
    <mergeCell ref="L47:M47"/>
    <mergeCell ref="L51:M51"/>
    <mergeCell ref="C47:D47"/>
    <mergeCell ref="A49:B49"/>
    <mergeCell ref="A5:A6"/>
    <mergeCell ref="A50:B50"/>
    <mergeCell ref="L5:M5"/>
  </mergeCells>
  <phoneticPr fontId="0" type="noConversion"/>
  <printOptions horizontalCentered="1" verticalCentered="1"/>
  <pageMargins left="0.39370078740157499" right="0.47244094488188998" top="0.35433070866141703" bottom="0.59055118110236204" header="0.23622047244094499" footer="0.31496062992126"/>
  <pageSetup paperSize="8" scale="95" orientation="landscape" horizontalDpi="1200" verticalDpi="300" r:id="rId1"/>
  <headerFooter scaleWithDoc="0" alignWithMargins="0">
    <oddFooter>&amp;RPag: &amp;P of &amp;N</oddFooter>
  </headerFooter>
  <ignoredErrors>
    <ignoredError sqref="D7:D42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Quadro de sinistralidade</vt:lpstr>
      <vt:lpstr>'Quadro de sinistralidade'!Print_Area</vt:lpstr>
    </vt:vector>
  </TitlesOfParts>
  <Company>Grupo Edifer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Utilizador Autorizado</dc:creator>
  <cp:lastModifiedBy>LUZOLO, João</cp:lastModifiedBy>
  <cp:lastPrinted>2023-04-24T15:13:03Z</cp:lastPrinted>
  <dcterms:created xsi:type="dcterms:W3CDTF">2005-06-01T17:44:20Z</dcterms:created>
  <dcterms:modified xsi:type="dcterms:W3CDTF">2026-04-23T13:56:59Z</dcterms:modified>
</cp:coreProperties>
</file>