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FA\Documents\7. HSE Management\4. Acompanhamento SSA\2. Monitorização\1. Relatório Mensal\"/>
    </mc:Choice>
  </mc:AlternateContent>
  <xr:revisionPtr revIDLastSave="0" documentId="8_{26FF33C2-C01E-4F5A-B05A-0F5C6E700A8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ferences" sheetId="4" state="hidden" r:id="rId1"/>
    <sheet name="HSE Checklist" sheetId="1" r:id="rId2"/>
    <sheet name="Calc" sheetId="2" state="hidden" r:id="rId3"/>
    <sheet name="Pre_database" sheetId="5" state="hidden" r:id="rId4"/>
    <sheet name="Database" sheetId="3" state="hidden" r:id="rId5"/>
  </sheets>
  <definedNames>
    <definedName name="_xlnm.Print_Area" localSheetId="1">'HSE Checklist'!$A$1:$G$143</definedName>
    <definedName name="_xlnm.Print_Titles" localSheetId="1">'HSE Checklist'!$1:$9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1" l="1"/>
  <c r="E110" i="5"/>
  <c r="E109" i="5"/>
  <c r="E108" i="5"/>
  <c r="E107" i="5"/>
  <c r="E106" i="5"/>
  <c r="E105" i="5"/>
  <c r="E104" i="5"/>
  <c r="E103" i="5"/>
  <c r="C107" i="5"/>
  <c r="C108" i="5"/>
  <c r="B107" i="2"/>
  <c r="B108" i="2"/>
  <c r="B109" i="2"/>
  <c r="B110" i="2"/>
  <c r="D108" i="2"/>
  <c r="E108" i="2"/>
  <c r="D109" i="2"/>
  <c r="E109" i="2"/>
  <c r="D110" i="2"/>
  <c r="E110" i="2"/>
  <c r="C110" i="5"/>
  <c r="C109" i="5"/>
  <c r="C106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B23" i="5"/>
  <c r="B24" i="5"/>
  <c r="B25" i="5"/>
  <c r="B26" i="5"/>
  <c r="B27" i="5"/>
  <c r="B28" i="5"/>
  <c r="B29" i="5"/>
  <c r="B30" i="5"/>
  <c r="B31" i="5"/>
  <c r="B32" i="5"/>
  <c r="B33" i="5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2" i="2"/>
  <c r="D104" i="2"/>
  <c r="D103" i="2"/>
  <c r="D102" i="2"/>
  <c r="B106" i="2"/>
  <c r="B105" i="2"/>
  <c r="D23" i="2"/>
  <c r="D24" i="2"/>
  <c r="D25" i="2"/>
  <c r="D26" i="2"/>
  <c r="D27" i="2"/>
  <c r="D28" i="2"/>
  <c r="D29" i="2"/>
  <c r="D30" i="2"/>
  <c r="D31" i="2"/>
  <c r="D32" i="2"/>
  <c r="D33" i="2"/>
  <c r="B23" i="2"/>
  <c r="B24" i="2"/>
  <c r="B25" i="2"/>
  <c r="B26" i="2"/>
  <c r="B27" i="2"/>
  <c r="B28" i="2"/>
  <c r="B29" i="2"/>
  <c r="B30" i="2"/>
  <c r="B31" i="2"/>
  <c r="B32" i="2"/>
  <c r="B33" i="2"/>
  <c r="H122" i="1"/>
  <c r="H121" i="1"/>
  <c r="B71" i="2"/>
  <c r="B72" i="2"/>
  <c r="B73" i="2"/>
  <c r="E73" i="5"/>
  <c r="E72" i="5"/>
  <c r="E71" i="5"/>
  <c r="E111" i="2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43" i="1"/>
  <c r="H44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6" i="1"/>
  <c r="H12" i="1"/>
  <c r="H11" i="1"/>
  <c r="B35" i="5" l="1"/>
  <c r="B36" i="5"/>
  <c r="B37" i="5"/>
  <c r="B38" i="5"/>
  <c r="B34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0" i="5"/>
  <c r="C88" i="5" s="1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C74" i="5"/>
  <c r="C78" i="5" s="1"/>
  <c r="E70" i="5"/>
  <c r="E69" i="5"/>
  <c r="E68" i="5"/>
  <c r="E67" i="5"/>
  <c r="E66" i="5"/>
  <c r="E65" i="5"/>
  <c r="E64" i="5"/>
  <c r="E63" i="5"/>
  <c r="C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C39" i="5"/>
  <c r="C52" i="5" s="1"/>
  <c r="E38" i="5"/>
  <c r="E37" i="5"/>
  <c r="E36" i="5"/>
  <c r="E35" i="5"/>
  <c r="E34" i="5"/>
  <c r="C34" i="5"/>
  <c r="C35" i="5" s="1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C2" i="5"/>
  <c r="C7" i="5" l="1"/>
  <c r="C32" i="5"/>
  <c r="C33" i="5"/>
  <c r="C23" i="5"/>
  <c r="C31" i="5"/>
  <c r="C30" i="5"/>
  <c r="C24" i="5"/>
  <c r="C25" i="5"/>
  <c r="C26" i="5"/>
  <c r="C27" i="5"/>
  <c r="C28" i="5"/>
  <c r="C29" i="5"/>
  <c r="C69" i="5"/>
  <c r="C73" i="5"/>
  <c r="C72" i="5"/>
  <c r="C71" i="5"/>
  <c r="C40" i="5"/>
  <c r="C53" i="5"/>
  <c r="C54" i="5"/>
  <c r="C75" i="5"/>
  <c r="C77" i="5"/>
  <c r="C79" i="5"/>
  <c r="C10" i="5"/>
  <c r="C81" i="5"/>
  <c r="C11" i="5"/>
  <c r="C12" i="5"/>
  <c r="C9" i="5"/>
  <c r="C15" i="5"/>
  <c r="C56" i="5"/>
  <c r="C13" i="5"/>
  <c r="C76" i="5"/>
  <c r="C36" i="5"/>
  <c r="C8" i="5"/>
  <c r="C70" i="5"/>
  <c r="C38" i="5"/>
  <c r="C55" i="5"/>
  <c r="C41" i="5"/>
  <c r="C57" i="5"/>
  <c r="C42" i="5"/>
  <c r="C58" i="5"/>
  <c r="C14" i="5"/>
  <c r="C43" i="5"/>
  <c r="C59" i="5"/>
  <c r="C44" i="5"/>
  <c r="C60" i="5"/>
  <c r="C16" i="5"/>
  <c r="C45" i="5"/>
  <c r="C61" i="5"/>
  <c r="C82" i="5"/>
  <c r="C17" i="5"/>
  <c r="C46" i="5"/>
  <c r="C62" i="5"/>
  <c r="C83" i="5"/>
  <c r="C3" i="5"/>
  <c r="C18" i="5"/>
  <c r="C47" i="5"/>
  <c r="C64" i="5"/>
  <c r="C84" i="5"/>
  <c r="C4" i="5"/>
  <c r="C19" i="5"/>
  <c r="C48" i="5"/>
  <c r="C65" i="5"/>
  <c r="C85" i="5"/>
  <c r="C37" i="5"/>
  <c r="C5" i="5"/>
  <c r="C20" i="5"/>
  <c r="C49" i="5"/>
  <c r="C66" i="5"/>
  <c r="C86" i="5"/>
  <c r="C6" i="5"/>
  <c r="C21" i="5"/>
  <c r="C50" i="5"/>
  <c r="C67" i="5"/>
  <c r="C87" i="5"/>
  <c r="C22" i="5"/>
  <c r="C51" i="5"/>
  <c r="C68" i="5"/>
  <c r="M9" i="1"/>
  <c r="G1" i="2" l="1"/>
  <c r="A107" i="5" l="1"/>
  <c r="A108" i="5"/>
  <c r="A109" i="5"/>
  <c r="A23" i="5"/>
  <c r="A24" i="5"/>
  <c r="A106" i="5"/>
  <c r="A27" i="5"/>
  <c r="A33" i="5"/>
  <c r="A28" i="5"/>
  <c r="A29" i="5"/>
  <c r="A30" i="5"/>
  <c r="A31" i="5"/>
  <c r="A32" i="5"/>
  <c r="A110" i="5"/>
  <c r="A25" i="5"/>
  <c r="A26" i="5"/>
  <c r="A72" i="5"/>
  <c r="A73" i="5"/>
  <c r="A71" i="5"/>
  <c r="A4" i="5"/>
  <c r="A19" i="5"/>
  <c r="A46" i="5"/>
  <c r="A62" i="5"/>
  <c r="A81" i="5"/>
  <c r="A97" i="5"/>
  <c r="A5" i="5"/>
  <c r="A20" i="5"/>
  <c r="A47" i="5"/>
  <c r="A63" i="5"/>
  <c r="A82" i="5"/>
  <c r="A98" i="5"/>
  <c r="A6" i="5"/>
  <c r="A21" i="5"/>
  <c r="A48" i="5"/>
  <c r="A64" i="5"/>
  <c r="A83" i="5"/>
  <c r="A99" i="5"/>
  <c r="A94" i="5"/>
  <c r="A17" i="5"/>
  <c r="A45" i="5"/>
  <c r="A22" i="5"/>
  <c r="A49" i="5"/>
  <c r="A65" i="5"/>
  <c r="A84" i="5"/>
  <c r="A100" i="5"/>
  <c r="A2" i="5"/>
  <c r="A13" i="5"/>
  <c r="A92" i="5"/>
  <c r="A93" i="5"/>
  <c r="A95" i="5"/>
  <c r="A7" i="5"/>
  <c r="A34" i="5"/>
  <c r="A50" i="5"/>
  <c r="A66" i="5"/>
  <c r="A85" i="5"/>
  <c r="A101" i="5"/>
  <c r="A55" i="5"/>
  <c r="A56" i="5"/>
  <c r="A76" i="5"/>
  <c r="A59" i="5"/>
  <c r="A60" i="5"/>
  <c r="A80" i="5"/>
  <c r="A8" i="5"/>
  <c r="A35" i="5"/>
  <c r="A51" i="5"/>
  <c r="A67" i="5"/>
  <c r="A86" i="5"/>
  <c r="A102" i="5"/>
  <c r="A39" i="5"/>
  <c r="A40" i="5"/>
  <c r="A43" i="5"/>
  <c r="A79" i="5"/>
  <c r="A9" i="5"/>
  <c r="A36" i="5"/>
  <c r="A52" i="5"/>
  <c r="A68" i="5"/>
  <c r="A87" i="5"/>
  <c r="A103" i="5"/>
  <c r="A91" i="5"/>
  <c r="A57" i="5"/>
  <c r="A42" i="5"/>
  <c r="A61" i="5"/>
  <c r="A10" i="5"/>
  <c r="A37" i="5"/>
  <c r="A53" i="5"/>
  <c r="A69" i="5"/>
  <c r="A88" i="5"/>
  <c r="A104" i="5"/>
  <c r="A90" i="5"/>
  <c r="A75" i="5"/>
  <c r="A14" i="5"/>
  <c r="A58" i="5"/>
  <c r="A11" i="5"/>
  <c r="A38" i="5"/>
  <c r="A54" i="5"/>
  <c r="A70" i="5"/>
  <c r="A89" i="5"/>
  <c r="A105" i="5"/>
  <c r="A74" i="5"/>
  <c r="A41" i="5"/>
  <c r="A77" i="5"/>
  <c r="A78" i="5"/>
  <c r="A44" i="5"/>
  <c r="A18" i="5"/>
  <c r="A12" i="5"/>
  <c r="A3" i="5"/>
  <c r="A15" i="5"/>
  <c r="A16" i="5"/>
  <c r="A96" i="5"/>
  <c r="I1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5" i="2"/>
  <c r="D106" i="2"/>
  <c r="D107" i="2"/>
  <c r="D2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F36" i="2" l="1"/>
  <c r="G36" i="2" s="1"/>
  <c r="F36" i="5" s="1"/>
  <c r="F38" i="2"/>
  <c r="G38" i="2" s="1"/>
  <c r="F38" i="5" s="1"/>
  <c r="F37" i="2"/>
  <c r="G37" i="2" s="1"/>
  <c r="F37" i="5" s="1"/>
  <c r="F35" i="2"/>
  <c r="G35" i="2" s="1"/>
  <c r="F35" i="5" s="1"/>
  <c r="F110" i="2"/>
  <c r="G110" i="2" s="1"/>
  <c r="F110" i="5" s="1"/>
  <c r="F108" i="2"/>
  <c r="G108" i="2" s="1"/>
  <c r="F108" i="5" s="1"/>
  <c r="F109" i="2"/>
  <c r="G109" i="2" s="1"/>
  <c r="F109" i="5" s="1"/>
  <c r="F106" i="2"/>
  <c r="G106" i="2" s="1"/>
  <c r="F106" i="5" s="1"/>
  <c r="F105" i="2"/>
  <c r="G105" i="2" s="1"/>
  <c r="F105" i="5" s="1"/>
  <c r="F95" i="2"/>
  <c r="F79" i="2"/>
  <c r="F60" i="2"/>
  <c r="F44" i="2"/>
  <c r="F17" i="2"/>
  <c r="F94" i="2"/>
  <c r="F78" i="2"/>
  <c r="F59" i="2"/>
  <c r="F43" i="2"/>
  <c r="F16" i="2"/>
  <c r="F93" i="2"/>
  <c r="F77" i="2"/>
  <c r="F58" i="2"/>
  <c r="F42" i="2"/>
  <c r="F15" i="2"/>
  <c r="F92" i="2"/>
  <c r="F76" i="2"/>
  <c r="F57" i="2"/>
  <c r="F41" i="2"/>
  <c r="F14" i="2"/>
  <c r="F91" i="2"/>
  <c r="F75" i="2"/>
  <c r="F56" i="2"/>
  <c r="F40" i="2"/>
  <c r="F13" i="2"/>
  <c r="F23" i="2"/>
  <c r="G23" i="2" s="1"/>
  <c r="F71" i="2"/>
  <c r="F103" i="2"/>
  <c r="G103" i="2" s="1"/>
  <c r="F103" i="5" s="1"/>
  <c r="F72" i="2"/>
  <c r="F104" i="2"/>
  <c r="F73" i="2"/>
  <c r="F30" i="2"/>
  <c r="G30" i="2" s="1"/>
  <c r="F2" i="2"/>
  <c r="F32" i="2"/>
  <c r="G32" i="2" s="1"/>
  <c r="F28" i="2"/>
  <c r="G28" i="2" s="1"/>
  <c r="F26" i="2"/>
  <c r="G26" i="2" s="1"/>
  <c r="F25" i="2"/>
  <c r="G25" i="2" s="1"/>
  <c r="F31" i="2"/>
  <c r="G31" i="2" s="1"/>
  <c r="F31" i="5" s="1"/>
  <c r="F24" i="2"/>
  <c r="G24" i="2" s="1"/>
  <c r="F29" i="2"/>
  <c r="G29" i="2" s="1"/>
  <c r="F102" i="2"/>
  <c r="G102" i="2" s="1"/>
  <c r="F102" i="5" s="1"/>
  <c r="F27" i="2"/>
  <c r="G27" i="2" s="1"/>
  <c r="F27" i="5" s="1"/>
  <c r="F33" i="2"/>
  <c r="G33" i="2" s="1"/>
  <c r="F33" i="5" s="1"/>
  <c r="F90" i="2"/>
  <c r="F74" i="2"/>
  <c r="F55" i="2"/>
  <c r="F39" i="2"/>
  <c r="F12" i="2"/>
  <c r="F89" i="2"/>
  <c r="F70" i="2"/>
  <c r="F54" i="2"/>
  <c r="F11" i="2"/>
  <c r="F107" i="2"/>
  <c r="G107" i="2" s="1"/>
  <c r="F107" i="5" s="1"/>
  <c r="F88" i="2"/>
  <c r="F69" i="2"/>
  <c r="F53" i="2"/>
  <c r="F10" i="2"/>
  <c r="F87" i="2"/>
  <c r="F68" i="2"/>
  <c r="F52" i="2"/>
  <c r="F9" i="2"/>
  <c r="F86" i="2"/>
  <c r="F67" i="2"/>
  <c r="F51" i="2"/>
  <c r="F8" i="2"/>
  <c r="F101" i="2"/>
  <c r="F85" i="2"/>
  <c r="F66" i="2"/>
  <c r="F50" i="2"/>
  <c r="F34" i="2"/>
  <c r="F7" i="2"/>
  <c r="F100" i="2"/>
  <c r="F84" i="2"/>
  <c r="F65" i="2"/>
  <c r="F49" i="2"/>
  <c r="F22" i="2"/>
  <c r="F99" i="2"/>
  <c r="F83" i="2"/>
  <c r="F64" i="2"/>
  <c r="F48" i="2"/>
  <c r="F21" i="2"/>
  <c r="F6" i="2"/>
  <c r="F98" i="2"/>
  <c r="F82" i="2"/>
  <c r="F63" i="2"/>
  <c r="F47" i="2"/>
  <c r="F20" i="2"/>
  <c r="F5" i="2"/>
  <c r="F97" i="2"/>
  <c r="F81" i="2"/>
  <c r="F62" i="2"/>
  <c r="F46" i="2"/>
  <c r="F19" i="2"/>
  <c r="F4" i="2"/>
  <c r="F96" i="2"/>
  <c r="F80" i="2"/>
  <c r="F61" i="2"/>
  <c r="F45" i="2"/>
  <c r="F18" i="2"/>
  <c r="F3" i="2"/>
  <c r="F29" i="5" l="1"/>
  <c r="F28" i="5"/>
  <c r="F25" i="5"/>
  <c r="F23" i="5"/>
  <c r="F24" i="5"/>
  <c r="F26" i="5"/>
  <c r="F32" i="5"/>
  <c r="F30" i="5"/>
  <c r="G44" i="2"/>
  <c r="F44" i="5" s="1"/>
  <c r="G101" i="2"/>
  <c r="F101" i="5" s="1"/>
  <c r="G54" i="2"/>
  <c r="F54" i="5" s="1"/>
  <c r="G41" i="2"/>
  <c r="F41" i="5" s="1"/>
  <c r="G60" i="2"/>
  <c r="F60" i="5" s="1"/>
  <c r="G6" i="2"/>
  <c r="F6" i="5" s="1"/>
  <c r="G48" i="2"/>
  <c r="F48" i="5" s="1"/>
  <c r="G8" i="2"/>
  <c r="F8" i="5" s="1"/>
  <c r="G70" i="2"/>
  <c r="F70" i="5" s="1"/>
  <c r="G57" i="2"/>
  <c r="F57" i="5" s="1"/>
  <c r="G79" i="2"/>
  <c r="F79" i="5" s="1"/>
  <c r="G91" i="2"/>
  <c r="F91" i="5" s="1"/>
  <c r="G96" i="2"/>
  <c r="F96" i="5" s="1"/>
  <c r="G64" i="2"/>
  <c r="F64" i="5" s="1"/>
  <c r="G51" i="2"/>
  <c r="F51" i="5" s="1"/>
  <c r="G89" i="2"/>
  <c r="F89" i="5" s="1"/>
  <c r="F111" i="2"/>
  <c r="G76" i="2"/>
  <c r="F76" i="5" s="1"/>
  <c r="G95" i="2"/>
  <c r="F95" i="5" s="1"/>
  <c r="G85" i="2"/>
  <c r="F85" i="5" s="1"/>
  <c r="G4" i="2"/>
  <c r="F4" i="5" s="1"/>
  <c r="G83" i="2"/>
  <c r="F83" i="5" s="1"/>
  <c r="G67" i="2"/>
  <c r="F67" i="5" s="1"/>
  <c r="G12" i="2"/>
  <c r="G92" i="2"/>
  <c r="F92" i="5" s="1"/>
  <c r="G66" i="2"/>
  <c r="F66" i="5" s="1"/>
  <c r="G21" i="2"/>
  <c r="G86" i="2"/>
  <c r="F86" i="5" s="1"/>
  <c r="G39" i="2"/>
  <c r="F39" i="5" s="1"/>
  <c r="G73" i="2"/>
  <c r="F73" i="5" s="1"/>
  <c r="G15" i="2"/>
  <c r="G11" i="2"/>
  <c r="G46" i="2"/>
  <c r="F46" i="5" s="1"/>
  <c r="G9" i="2"/>
  <c r="G55" i="2"/>
  <c r="F55" i="5" s="1"/>
  <c r="G104" i="2"/>
  <c r="F104" i="5" s="1"/>
  <c r="G42" i="2"/>
  <c r="F42" i="5" s="1"/>
  <c r="G18" i="2"/>
  <c r="G61" i="2"/>
  <c r="F61" i="5" s="1"/>
  <c r="G62" i="2"/>
  <c r="F62" i="5" s="1"/>
  <c r="G22" i="2"/>
  <c r="F22" i="5" s="1"/>
  <c r="G52" i="2"/>
  <c r="F52" i="5" s="1"/>
  <c r="G74" i="2"/>
  <c r="F74" i="5" s="1"/>
  <c r="G72" i="2"/>
  <c r="F72" i="5" s="1"/>
  <c r="G58" i="2"/>
  <c r="F58" i="5" s="1"/>
  <c r="G99" i="2"/>
  <c r="F99" i="5" s="1"/>
  <c r="G81" i="2"/>
  <c r="F81" i="5" s="1"/>
  <c r="G49" i="2"/>
  <c r="F49" i="5" s="1"/>
  <c r="G68" i="2"/>
  <c r="F68" i="5" s="1"/>
  <c r="G90" i="2"/>
  <c r="F90" i="5" s="1"/>
  <c r="G77" i="2"/>
  <c r="F77" i="5" s="1"/>
  <c r="G14" i="2"/>
  <c r="G65" i="2"/>
  <c r="F65" i="5" s="1"/>
  <c r="G87" i="2"/>
  <c r="F87" i="5" s="1"/>
  <c r="G71" i="2"/>
  <c r="F71" i="5" s="1"/>
  <c r="G93" i="2"/>
  <c r="F93" i="5" s="1"/>
  <c r="G45" i="2"/>
  <c r="F45" i="5" s="1"/>
  <c r="G97" i="2"/>
  <c r="F97" i="5" s="1"/>
  <c r="G5" i="2"/>
  <c r="F5" i="5" s="1"/>
  <c r="G84" i="2"/>
  <c r="F84" i="5" s="1"/>
  <c r="G10" i="2"/>
  <c r="G16" i="2"/>
  <c r="G98" i="2"/>
  <c r="F98" i="5" s="1"/>
  <c r="G80" i="2"/>
  <c r="F80" i="5" s="1"/>
  <c r="G100" i="2"/>
  <c r="F100" i="5" s="1"/>
  <c r="G53" i="2"/>
  <c r="F53" i="5" s="1"/>
  <c r="G13" i="2"/>
  <c r="G43" i="2"/>
  <c r="F43" i="5" s="1"/>
  <c r="G20" i="2"/>
  <c r="G47" i="2"/>
  <c r="F47" i="5" s="1"/>
  <c r="G7" i="2"/>
  <c r="F7" i="5" s="1"/>
  <c r="G69" i="2"/>
  <c r="F69" i="5" s="1"/>
  <c r="G40" i="2"/>
  <c r="F40" i="5" s="1"/>
  <c r="G59" i="2"/>
  <c r="F59" i="5" s="1"/>
  <c r="G19" i="2"/>
  <c r="G63" i="2"/>
  <c r="F63" i="5" s="1"/>
  <c r="G34" i="2"/>
  <c r="F34" i="5" s="1"/>
  <c r="G88" i="2"/>
  <c r="F88" i="5" s="1"/>
  <c r="G56" i="2"/>
  <c r="F56" i="5" s="1"/>
  <c r="G78" i="2"/>
  <c r="F78" i="5" s="1"/>
  <c r="G17" i="2"/>
  <c r="G3" i="2"/>
  <c r="F3" i="5" s="1"/>
  <c r="G82" i="2"/>
  <c r="F82" i="5" s="1"/>
  <c r="G50" i="2"/>
  <c r="F50" i="5" s="1"/>
  <c r="G75" i="2"/>
  <c r="F75" i="5" s="1"/>
  <c r="G94" i="2"/>
  <c r="F94" i="5" s="1"/>
  <c r="G2" i="2"/>
  <c r="F2" i="5" s="1"/>
  <c r="F20" i="5" l="1"/>
  <c r="F14" i="5"/>
  <c r="F13" i="5"/>
  <c r="F9" i="5"/>
  <c r="F19" i="5"/>
  <c r="F17" i="5"/>
  <c r="F10" i="5"/>
  <c r="F21" i="5"/>
  <c r="F12" i="5"/>
  <c r="F18" i="5"/>
  <c r="F11" i="5"/>
  <c r="F16" i="5"/>
  <c r="F15" i="5"/>
  <c r="G111" i="2"/>
  <c r="G128" i="1" l="1"/>
  <c r="G130" i="1" l="1"/>
  <c r="G112" i="2" s="1"/>
  <c r="G94" i="5" l="1"/>
  <c r="G73" i="5"/>
  <c r="G91" i="5"/>
  <c r="G81" i="5"/>
  <c r="G92" i="5"/>
  <c r="G32" i="5"/>
  <c r="G18" i="5"/>
  <c r="G87" i="5"/>
  <c r="G12" i="5"/>
  <c r="G110" i="5"/>
  <c r="G17" i="5"/>
  <c r="G95" i="5"/>
  <c r="G37" i="5"/>
  <c r="G23" i="5"/>
  <c r="G53" i="5"/>
  <c r="G108" i="5"/>
  <c r="G19" i="5"/>
  <c r="G44" i="5"/>
  <c r="G42" i="5"/>
  <c r="G6" i="5"/>
  <c r="G13" i="5"/>
  <c r="G86" i="5"/>
  <c r="G5" i="5"/>
  <c r="G89" i="5"/>
  <c r="G88" i="5"/>
  <c r="G77" i="5"/>
  <c r="G106" i="5"/>
  <c r="G107" i="5"/>
  <c r="G22" i="5"/>
  <c r="G10" i="5"/>
  <c r="G48" i="5"/>
  <c r="G57" i="5"/>
  <c r="G3" i="5"/>
  <c r="G8" i="5"/>
  <c r="G90" i="5"/>
  <c r="G60" i="5"/>
  <c r="G20" i="5"/>
  <c r="G59" i="5"/>
  <c r="G101" i="5"/>
  <c r="G79" i="5"/>
  <c r="G74" i="5"/>
  <c r="G97" i="5"/>
  <c r="G35" i="5"/>
  <c r="G67" i="5"/>
  <c r="G51" i="5"/>
  <c r="G45" i="5"/>
  <c r="G40" i="5"/>
  <c r="G80" i="5"/>
  <c r="G72" i="5"/>
  <c r="G100" i="5"/>
  <c r="G31" i="5"/>
  <c r="G66" i="5"/>
  <c r="G39" i="5"/>
  <c r="G28" i="5"/>
  <c r="G55" i="5"/>
  <c r="G62" i="5"/>
  <c r="G75" i="5"/>
  <c r="G84" i="5"/>
  <c r="G82" i="5"/>
  <c r="G103" i="5"/>
  <c r="G85" i="5"/>
  <c r="G93" i="5"/>
  <c r="G27" i="5"/>
  <c r="G63" i="5"/>
  <c r="G29" i="5"/>
  <c r="G41" i="5"/>
  <c r="G21" i="5"/>
  <c r="G52" i="5"/>
  <c r="G9" i="5"/>
  <c r="G49" i="5"/>
  <c r="G71" i="5"/>
  <c r="G36" i="5"/>
  <c r="G65" i="5"/>
  <c r="G50" i="5"/>
  <c r="G96" i="5"/>
  <c r="G25" i="5"/>
  <c r="G102" i="5"/>
  <c r="G83" i="5"/>
  <c r="G14" i="5"/>
  <c r="G47" i="5"/>
  <c r="G104" i="5"/>
  <c r="G30" i="5"/>
  <c r="G16" i="5"/>
  <c r="G61" i="5"/>
  <c r="G24" i="5"/>
  <c r="G54" i="5"/>
  <c r="G26" i="5"/>
  <c r="G78" i="5"/>
  <c r="G15" i="5"/>
  <c r="G64" i="5"/>
  <c r="G43" i="5"/>
  <c r="G58" i="5"/>
  <c r="G33" i="5"/>
  <c r="G7" i="5"/>
  <c r="G99" i="5"/>
  <c r="G2" i="5"/>
  <c r="G69" i="5"/>
  <c r="G76" i="5"/>
  <c r="G70" i="5"/>
  <c r="G34" i="5"/>
  <c r="G4" i="5"/>
  <c r="G109" i="5"/>
  <c r="G56" i="5"/>
  <c r="G11" i="5"/>
  <c r="G46" i="5"/>
  <c r="G98" i="5"/>
  <c r="G38" i="5"/>
  <c r="G105" i="5"/>
  <c r="G6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SERRENHO, Rui</author>
  </authors>
  <commentList>
    <comment ref="G60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Colocar data e resultado da última análise
</t>
        </r>
      </text>
    </comment>
    <comment ref="G117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Indicar data da última medição</t>
        </r>
      </text>
    </comment>
  </commentList>
</comments>
</file>

<file path=xl/sharedStrings.xml><?xml version="1.0" encoding="utf-8"?>
<sst xmlns="http://schemas.openxmlformats.org/spreadsheetml/2006/main" count="541" uniqueCount="299">
  <si>
    <t>&lt;=</t>
  </si>
  <si>
    <t>&lt;</t>
  </si>
  <si>
    <t>Dates</t>
  </si>
  <si>
    <t>CHECK-LIST DE IMPLEMENTAÇÃO
HSE EM OBRA</t>
  </si>
  <si>
    <t>Passo a passo:</t>
  </si>
  <si>
    <r>
      <t>VAMED Engineering</t>
    </r>
    <r>
      <rPr>
        <b/>
        <sz val="11"/>
        <color rgb="FF00B0F0"/>
        <rFont val="Arial"/>
        <family val="2"/>
      </rPr>
      <t/>
    </r>
  </si>
  <si>
    <t>1 - Limpe o formulário clicando no botão "LIMPAR FORMULÁRIO".
2 - Preencha todos os campos C, NC e NA conforme indicado na legenda.
3 - Se o indicador estiver verde e escrito "FORMULÁRIO COMPLETO", clique em "GRAVAR NOTA".
4 - Se o indicador estiver vermelho e escrito "FORMULÁRIO INCOMPLETO", cheque se todos os campos C, NC e NA foram preenchidos;
5 - Após confirmação de "Formulário Completo" imprima e recolha as assinaturas necessárias.</t>
  </si>
  <si>
    <r>
      <rPr>
        <b/>
        <sz val="11"/>
        <color rgb="FF00B0F0"/>
        <rFont val="Arial"/>
        <family val="2"/>
      </rPr>
      <t>PRO</t>
    </r>
    <r>
      <rPr>
        <b/>
        <sz val="11"/>
        <color theme="1"/>
        <rFont val="Arial"/>
        <family val="2"/>
      </rPr>
      <t>-</t>
    </r>
    <r>
      <rPr>
        <b/>
        <i/>
        <sz val="11"/>
        <color theme="1"/>
        <rFont val="Arial"/>
        <family val="2"/>
      </rPr>
      <t>fit</t>
    </r>
  </si>
  <si>
    <t xml:space="preserve">Nome da obra: </t>
  </si>
  <si>
    <t>Centro de custo:</t>
  </si>
  <si>
    <t>Site manager:</t>
  </si>
  <si>
    <t>Téc. de Segurança e Amb.:</t>
  </si>
  <si>
    <t>ID</t>
  </si>
  <si>
    <t>Itens a verificar</t>
  </si>
  <si>
    <t>C</t>
  </si>
  <si>
    <t>NC</t>
  </si>
  <si>
    <t>NA</t>
  </si>
  <si>
    <t>Observações</t>
  </si>
  <si>
    <t>C: CONFORME, NC: NÃO CONFORME, NA: NÃO SE APLICA</t>
  </si>
  <si>
    <t xml:space="preserve">Última nota gravada: </t>
  </si>
  <si>
    <t>Documentação / Procedimentos de obra</t>
  </si>
  <si>
    <t>Manual HSE VAMED actualizado</t>
  </si>
  <si>
    <t>Licença de Obra (afixada)</t>
  </si>
  <si>
    <t>Plano de Segurança e Saúde aprovado</t>
  </si>
  <si>
    <t>Plano de Gestão Ambiental aprovado</t>
  </si>
  <si>
    <t>Plano de Gestão de Resíduos aprovado pela ANR</t>
  </si>
  <si>
    <t>Licença dos geradores</t>
  </si>
  <si>
    <t>Certificado dos Bombeiros</t>
  </si>
  <si>
    <t>Procedimentos de Segurança submetidos e aprovados para as actividades em curso</t>
  </si>
  <si>
    <t>1.10</t>
  </si>
  <si>
    <t>Documentação das empresas (Alvará, Seguro AT, Contribuinte e Seg. Social)</t>
  </si>
  <si>
    <t>Documentação dos equipamentos</t>
  </si>
  <si>
    <t>Indução com atribuição de autocolante</t>
  </si>
  <si>
    <t>Reunião semanal HSE implementada</t>
  </si>
  <si>
    <t>Relatório mensal implementado</t>
  </si>
  <si>
    <t>Quadro de sinistralidade</t>
  </si>
  <si>
    <t>Investigação de acidentes</t>
  </si>
  <si>
    <t>Relatório trimestral (INGA)</t>
  </si>
  <si>
    <t>Relatório semestral (Entidades financiadoras)</t>
  </si>
  <si>
    <t>1.20</t>
  </si>
  <si>
    <t>N.º Técnicos de Segurança dos subcontratados de acordo com as regras VAMED</t>
  </si>
  <si>
    <t>Sensibilização semanal de HSE</t>
  </si>
  <si>
    <t>Realização de controlos de alcoolemia</t>
  </si>
  <si>
    <t>Plano de imagem</t>
  </si>
  <si>
    <t>Placa de obra (instalação e estado de conservação)</t>
  </si>
  <si>
    <t>Lonas VAMED (instalação e estado de conservação)</t>
  </si>
  <si>
    <t>PVC de tapume (20m em 20m – instalação e estado de conservação)</t>
  </si>
  <si>
    <t>Mastros + bandeiras (instalação e estado de conservação)</t>
  </si>
  <si>
    <t>Sinalização de Entrada de Obra (instalação e estado de conservação)</t>
  </si>
  <si>
    <t>Estaleiro (Geral)</t>
  </si>
  <si>
    <t>Controlo de acessos implementado</t>
  </si>
  <si>
    <t>Estacionamento identificado e sinalizado</t>
  </si>
  <si>
    <t>Limpeza do capim pelo interior da obra</t>
  </si>
  <si>
    <t>Limpeza do capim pelo exterior da obra</t>
  </si>
  <si>
    <t>Plano de controlo de pragas aprovado e implementado</t>
  </si>
  <si>
    <t>Limpeza dos escritórios com respectivo registo</t>
  </si>
  <si>
    <t>Pára-raios</t>
  </si>
  <si>
    <t>Vitrina de informação de Segurança</t>
  </si>
  <si>
    <t>3.10</t>
  </si>
  <si>
    <t>Identificação dos diferentes espaços de estaleiro (escritórios, ferramentarias, armazéns e estaleiros temporários)</t>
  </si>
  <si>
    <t>Análises à potabilidade da água (2 em 2 meses)</t>
  </si>
  <si>
    <t>Manutenção periódica do sistema de filtragem da água</t>
  </si>
  <si>
    <t>Sinalização da água potável</t>
  </si>
  <si>
    <t>Sinalização da água imprópria para consumo</t>
  </si>
  <si>
    <t>Zona de permissão de fumar</t>
  </si>
  <si>
    <t>Indicação de proibição de fumar</t>
  </si>
  <si>
    <t>Iluminação do estaleiro (perímetro interior e exterior)</t>
  </si>
  <si>
    <t>Fichas de dados de segurança para os produtos químicos existentes em estaleiro</t>
  </si>
  <si>
    <t>3.20</t>
  </si>
  <si>
    <t>Organização, identificação das prateleiras e limpeza da ferramentaria</t>
  </si>
  <si>
    <t>Armazenamento do aço por diâmetros</t>
  </si>
  <si>
    <t>Cobertura do estaleiro do aço</t>
  </si>
  <si>
    <t>Estado das máquinas de corte e dobra de aço (incluindo ligação terra)</t>
  </si>
  <si>
    <t>Vedação e cobertura do depósito de combustível e geradores</t>
  </si>
  <si>
    <t>Emergência</t>
  </si>
  <si>
    <t>Instalação de sistema de alarme eficaz</t>
  </si>
  <si>
    <t>Sinal de Ponto de Encontro</t>
  </si>
  <si>
    <t>Realização de simulacro</t>
  </si>
  <si>
    <t>Caixa de primeiros socorros – existência</t>
  </si>
  <si>
    <t>Extintores – existência</t>
  </si>
  <si>
    <t>4.10</t>
  </si>
  <si>
    <t>Existência de sinalização de emergência</t>
  </si>
  <si>
    <t>Existência de maca em obra</t>
  </si>
  <si>
    <t>Contactos de emergência afixados e visíveis</t>
  </si>
  <si>
    <t>Definição das clínicas e/ou hospitais para emergência</t>
  </si>
  <si>
    <t>Existência de viatura disponível</t>
  </si>
  <si>
    <t>Inspecções</t>
  </si>
  <si>
    <t>Andaimes – inspecção inicial e semanal</t>
  </si>
  <si>
    <t>Caixa de primeiros socorros – inspecção inicial e mensal</t>
  </si>
  <si>
    <t>Extintores – inspecção inicial e mensal</t>
  </si>
  <si>
    <t>Quadros eléctricos – inspecção inicial e mensal</t>
  </si>
  <si>
    <t>Ferramentas e material eléctrico (código de cores) – inspecção inicial e mensal</t>
  </si>
  <si>
    <t>Verificação dos equipamentos pesados</t>
  </si>
  <si>
    <t>Instalações Sociais</t>
  </si>
  <si>
    <t>Área dos vestiários = 1,5 – (n.º de trabalhadores / 1000)</t>
  </si>
  <si>
    <t>Cabides e bancos corridos em número suficiente</t>
  </si>
  <si>
    <t>Chuveiros em número suficiente (1 por 20 trabalhadores)</t>
  </si>
  <si>
    <t>Sanitas em número suficiente (1 por cada 25 trabalhadores)</t>
  </si>
  <si>
    <t>Lavatórios em número suficiente (1 por cada 20 trabalhadores)</t>
  </si>
  <si>
    <t>Refeitório com capacidade para a totalidade de trabalhadores que almoçam em obra</t>
  </si>
  <si>
    <t>Mesas do refeitório forradas com material plástico</t>
  </si>
  <si>
    <t>Identificação das instalações sociais</t>
  </si>
  <si>
    <t>Limpeza das instalações sociais com respectivo registo</t>
  </si>
  <si>
    <t>Frentes de Obra</t>
  </si>
  <si>
    <t>Limpeza e arrumação das frentes de obra</t>
  </si>
  <si>
    <t>Utilização de EPIs obrigatórios</t>
  </si>
  <si>
    <t>Utilização de EPIs pontuais</t>
  </si>
  <si>
    <t>Protecção colectiva (escadas, lajes, negativos, escavações, etc)</t>
  </si>
  <si>
    <t>Andaimes interiores</t>
  </si>
  <si>
    <t>Iluminação das frentes de obra</t>
  </si>
  <si>
    <t>Ensaio de linha de vida</t>
  </si>
  <si>
    <t>Identificação das frentes de obra (estaleiros temporários, escadas, blocos, pisos, etc)</t>
  </si>
  <si>
    <t>Ambiente</t>
  </si>
  <si>
    <t>Nível de separação e organização da zona de armazenamento de resíduos</t>
  </si>
  <si>
    <t>Existência de caixotes do lixo e limpeza atempada dos mesmos</t>
  </si>
  <si>
    <t>Monitorização de consumos ambientais</t>
  </si>
  <si>
    <t>Monitorização da produção de resíduos</t>
  </si>
  <si>
    <t>Monitorização trimestral de gases, partículas e ruído</t>
  </si>
  <si>
    <t>Geradores e outros equipamentos com risco de derrame com bacia de retenção</t>
  </si>
  <si>
    <t>Kit de contenção de derrames</t>
  </si>
  <si>
    <t>Existência e manutenção de lava-rodados</t>
  </si>
  <si>
    <t>Existência e manutenção da bacia de lavagem dos camiões de betão</t>
  </si>
  <si>
    <t>x</t>
  </si>
  <si>
    <t>VAMED</t>
  </si>
  <si>
    <t>SUBCONTRATADO</t>
  </si>
  <si>
    <t>ITENS A VERIFICAR</t>
  </si>
  <si>
    <t>PESO RELATIVO CALC Σ100%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</si>
  <si>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</si>
  <si>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</si>
  <si>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</si>
  <si>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</si>
  <si>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</si>
  <si>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</si>
  <si>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</si>
  <si>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</si>
  <si>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</si>
  <si>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</si>
  <si>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</si>
  <si>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</si>
  <si>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</si>
  <si>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</si>
  <si>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</si>
  <si>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</si>
  <si>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</si>
  <si>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</si>
  <si>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</si>
  <si>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</si>
  <si>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1_21</t>
  </si>
  <si>
    <t>1_22</t>
  </si>
  <si>
    <t>2_1</t>
  </si>
  <si>
    <t>2_2</t>
  </si>
  <si>
    <t>2_3</t>
  </si>
  <si>
    <t>2_4</t>
  </si>
  <si>
    <t>2_5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</si>
  <si>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</si>
  <si>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</si>
  <si>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</si>
  <si>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</si>
  <si>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</si>
  <si>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</si>
  <si>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</si>
  <si>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</si>
  <si>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</si>
  <si>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</si>
  <si>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</si>
  <si>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</si>
  <si>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</si>
  <si>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</si>
  <si>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</si>
  <si>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</si>
  <si>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</si>
  <si>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</si>
  <si>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</si>
  <si>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3_20</t>
  </si>
  <si>
    <t>3_21</t>
  </si>
  <si>
    <t>3_22</t>
  </si>
  <si>
    <t>3_23</t>
  </si>
  <si>
    <t>3_24</t>
  </si>
  <si>
    <t>4_1</t>
  </si>
  <si>
    <t>4_2</t>
  </si>
  <si>
    <t>4_3</t>
  </si>
  <si>
    <t>4_4</t>
  </si>
  <si>
    <t>4_8</t>
  </si>
  <si>
    <t>4_9</t>
  </si>
  <si>
    <t>4_10</t>
  </si>
  <si>
    <t>4_11</t>
  </si>
  <si>
    <t>4_12</t>
  </si>
  <si>
    <t>4_13</t>
  </si>
  <si>
    <t>4_14</t>
  </si>
  <si>
    <t>5_1</t>
  </si>
  <si>
    <t>5_2</t>
  </si>
  <si>
    <t>5_3</t>
  </si>
  <si>
    <t>5_4</t>
  </si>
  <si>
    <t>5_5</t>
  </si>
  <si>
    <t>5_6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</si>
  <si>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</si>
  <si>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</si>
  <si>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</si>
  <si>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</si>
  <si>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</si>
  <si>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</si>
  <si>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</si>
  <si>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</si>
  <si>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</si>
  <si>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7_1</t>
  </si>
  <si>
    <t>7_2</t>
  </si>
  <si>
    <t>7_3</t>
  </si>
  <si>
    <t>7_4</t>
  </si>
  <si>
    <t>7_5</t>
  </si>
  <si>
    <t>7_6</t>
  </si>
  <si>
    <t>7_7</t>
  </si>
  <si>
    <t>7_8</t>
  </si>
  <si>
    <t>8_1</t>
  </si>
  <si>
    <t>8_2</t>
  </si>
  <si>
    <t>8_3</t>
  </si>
  <si>
    <t>8_4</t>
  </si>
  <si>
    <t>8_5</t>
  </si>
  <si>
    <t>8_6</t>
  </si>
  <si>
    <t>8_7</t>
  </si>
  <si>
    <t>8_8</t>
  </si>
  <si>
    <t>Σ</t>
  </si>
  <si>
    <t>Date</t>
  </si>
  <si>
    <t>Parent ID</t>
  </si>
  <si>
    <t>Parent Item</t>
  </si>
  <si>
    <t>Item</t>
  </si>
  <si>
    <t>Evaluation</t>
  </si>
  <si>
    <t>Total Evaluation (month)</t>
  </si>
  <si>
    <t>6</t>
  </si>
  <si>
    <t>Criação das Equipas de Emergência com atribuição de autocolante respectivo (Brigadista, Socorrista e Equipas de Evacuação)</t>
  </si>
  <si>
    <t>Mês:</t>
  </si>
  <si>
    <t>1.23</t>
  </si>
  <si>
    <t>Licença de origem das matérias primas</t>
  </si>
  <si>
    <t>Realização de indução aos visitantes</t>
  </si>
  <si>
    <t>1.24</t>
  </si>
  <si>
    <t>Formação mensal aos seguranças</t>
  </si>
  <si>
    <t>1.25</t>
  </si>
  <si>
    <t>1.26</t>
  </si>
  <si>
    <t>Recolha da documentação dos seguranças</t>
  </si>
  <si>
    <t>1.27</t>
  </si>
  <si>
    <t>Cumprimento do SEP (Stakeholders Engagement Plan)</t>
  </si>
  <si>
    <t>1.28</t>
  </si>
  <si>
    <t>Interação mensal com as comunidades</t>
  </si>
  <si>
    <t>1.29</t>
  </si>
  <si>
    <t>Implementação do projeto de responsabilidade social</t>
  </si>
  <si>
    <t>1.30</t>
  </si>
  <si>
    <t>1.31</t>
  </si>
  <si>
    <t>1.32</t>
  </si>
  <si>
    <t>Inspeção e condições de habitabilidade das bases de vida dos subcontratados</t>
  </si>
  <si>
    <t>Criação da CPAT ou definição do representante dos trabalhadores</t>
  </si>
  <si>
    <t>Reconhecimento mensal</t>
  </si>
  <si>
    <t>8.10</t>
  </si>
  <si>
    <t>8.11</t>
  </si>
  <si>
    <t>Ligação à rede pública de água</t>
  </si>
  <si>
    <t>Ligação à rede pública de eletricidade</t>
  </si>
  <si>
    <t>Plano de gestao de tráfego atualizado</t>
  </si>
  <si>
    <t>1_23</t>
  </si>
  <si>
    <t>1_24</t>
  </si>
  <si>
    <t>1_25</t>
  </si>
  <si>
    <t>1_26</t>
  </si>
  <si>
    <t>1_27</t>
  </si>
  <si>
    <t>1_28</t>
  </si>
  <si>
    <t>1_29</t>
  </si>
  <si>
    <t>1_30</t>
  </si>
  <si>
    <t>1_31</t>
  </si>
  <si>
    <t>1_32</t>
  </si>
  <si>
    <t>8_9</t>
  </si>
  <si>
    <t>8_10</t>
  </si>
  <si>
    <t>8_11</t>
  </si>
  <si>
    <t>PESO RELATIVO TOTAL Σ100%</t>
  </si>
  <si>
    <t>Peso Ponderado (1 a 3)</t>
  </si>
  <si>
    <t>8.13</t>
  </si>
  <si>
    <t>8.14</t>
  </si>
  <si>
    <t>Definição de empresa de gestão de resíduos perigosos</t>
  </si>
  <si>
    <t>Definição de empresa de gestão de resíduos não perigosos</t>
  </si>
  <si>
    <t>Definição de empresa de gestão de águas residuais</t>
  </si>
  <si>
    <t>8.12</t>
  </si>
  <si>
    <t>8_12</t>
  </si>
  <si>
    <t>8_13</t>
  </si>
  <si>
    <t>INSUFICIENTE</t>
  </si>
  <si>
    <t>MEDIANO</t>
  </si>
  <si>
    <t>SATISFATÓRIO</t>
  </si>
  <si>
    <t>EXCELENTE</t>
  </si>
  <si>
    <t>Eduardo Silva</t>
  </si>
  <si>
    <t>Hospital Militar Regional Do Huambo</t>
  </si>
  <si>
    <t>X</t>
  </si>
  <si>
    <t>13DC – DEI/SV/2021</t>
  </si>
  <si>
    <t>Faustino dos Santos</t>
  </si>
  <si>
    <t>Documentação dos trabalhadores (Documento de identificação, atestado médico, Entrega EPI, Certificado Aptidão)</t>
  </si>
  <si>
    <t>A acção será retomada no início de 2026.</t>
  </si>
  <si>
    <t>Sinal de Proibição de Circulação a mais de 20 Km/h</t>
  </si>
  <si>
    <t>Manutenção periódica dos aparelhos de ar condicionado</t>
  </si>
  <si>
    <t>Nãso se verificaram ocorrências no presente mês.</t>
  </si>
  <si>
    <t>Não é permitido alterar a data ou ano.</t>
  </si>
  <si>
    <t xml:space="preserve">A ultima coleta de água para análise foi efectuada no dia    17-03-2026 </t>
  </si>
  <si>
    <t>Ultimo   controlo de pragas s foi realizado no dia 27 /03 /2026.</t>
  </si>
  <si>
    <t>Foi realizado lavagem do sistema de filtragem de água no dia 09/ 04 /2026</t>
  </si>
  <si>
    <t>Foi realizado simulacro na obra  no dia 07/ 04 /2026.</t>
  </si>
  <si>
    <t>Foi realizada a manutenção dos aparelhos de ar condicionado no dia 08 de Maio de 2026.</t>
  </si>
  <si>
    <t>Os Extintores da Prefangol ou Central de Betão estão com a manutenção fora de validade.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</si>
</sst>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dd/mm/yyyy;@"/>
    <numFmt numFmtId="165" formatCode="mmm/yyyy"/>
    <numFmt numFmtId="166" formatCode="mmm\-yyyy;"/>
    <numFmt numFmtId="167" formatCode="&quot;Média HSE Checklist em &quot;mm/yyyy"/>
  </numFmts>
  <fonts count="26" x14ac:knownFonts="1">
    <font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16"/>
      <color theme="1"/>
      <name val="Arial"/>
      <family val="2"/>
    </font>
    <font>
      <b/>
      <sz val="11"/>
      <color rgb="FF00B0F0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MS Gothic"/>
      <family val="3"/>
    </font>
    <font>
      <b/>
      <sz val="20"/>
      <color theme="1"/>
      <name val="Arial"/>
      <family val="2"/>
    </font>
    <font>
      <sz val="18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9"/>
      <color indexed="81"/>
      <name val="Tahoma"/>
      <family val="2"/>
    </font>
    <font>
      <sz val="7"/>
      <color theme="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medium">
        <color rgb="FF00B0F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11" fillId="0" borderId="0" xfId="0" applyFont="1" applyAlignment="1">
      <alignment horizontal="right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49" fontId="0" fillId="0" borderId="0" xfId="0" applyNumberFormat="1"/>
    <xf numFmtId="10" fontId="2" fillId="0" borderId="1" xfId="1" applyNumberFormat="1" applyFont="1" applyBorder="1" applyAlignment="1">
      <alignment horizontal="center" vertical="center"/>
    </xf>
    <xf numFmtId="10" fontId="0" fillId="0" borderId="0" xfId="1" applyNumberFormat="1" applyFont="1"/>
    <xf numFmtId="10" fontId="0" fillId="0" borderId="0" xfId="0" applyNumberFormat="1"/>
    <xf numFmtId="10" fontId="11" fillId="0" borderId="0" xfId="1" applyNumberFormat="1" applyFont="1" applyAlignment="1">
      <alignment horizontal="center"/>
    </xf>
    <xf numFmtId="10" fontId="2" fillId="0" borderId="3" xfId="1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0" fontId="11" fillId="0" borderId="0" xfId="1" applyNumberFormat="1" applyFont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0" fontId="9" fillId="0" borderId="0" xfId="0" applyFont="1"/>
    <xf numFmtId="0" fontId="14" fillId="0" borderId="0" xfId="0" applyFont="1" applyAlignment="1">
      <alignment horizontal="center" vertical="center" wrapText="1"/>
    </xf>
    <xf numFmtId="165" fontId="0" fillId="3" borderId="0" xfId="0" applyNumberFormat="1" applyFill="1" applyAlignment="1">
      <alignment horizontal="center" vertical="top"/>
    </xf>
    <xf numFmtId="17" fontId="0" fillId="0" borderId="0" xfId="0" applyNumberFormat="1"/>
    <xf numFmtId="9" fontId="0" fillId="0" borderId="11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17" fontId="0" fillId="0" borderId="23" xfId="0" applyNumberFormat="1" applyBorder="1"/>
    <xf numFmtId="14" fontId="0" fillId="0" borderId="0" xfId="0" applyNumberFormat="1"/>
    <xf numFmtId="164" fontId="0" fillId="0" borderId="0" xfId="0" applyNumberFormat="1"/>
    <xf numFmtId="43" fontId="0" fillId="0" borderId="0" xfId="2" applyFont="1"/>
    <xf numFmtId="166" fontId="10" fillId="0" borderId="1" xfId="2" applyNumberFormat="1" applyFont="1" applyBorder="1" applyAlignment="1" applyProtection="1">
      <alignment horizontal="center" vertical="center" wrapText="1"/>
      <protection locked="0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left" wrapText="1"/>
    </xf>
    <xf numFmtId="0" fontId="9" fillId="0" borderId="24" xfId="0" applyFont="1" applyBorder="1" applyAlignment="1">
      <alignment horizontal="center"/>
    </xf>
    <xf numFmtId="0" fontId="0" fillId="0" borderId="24" xfId="0" applyBorder="1"/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4" xfId="0" applyBorder="1" applyAlignment="1">
      <alignment horizontal="left"/>
    </xf>
    <xf numFmtId="0" fontId="0" fillId="0" borderId="0" xfId="0" applyAlignment="1">
      <alignment horizontal="left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49" fontId="15" fillId="0" borderId="0" xfId="0" applyNumberFormat="1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1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10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4" fontId="18" fillId="0" borderId="0" xfId="2" applyNumberFormat="1" applyFont="1" applyAlignment="1">
      <alignment horizontal="center"/>
    </xf>
    <xf numFmtId="1" fontId="18" fillId="0" borderId="0" xfId="1" applyNumberFormat="1" applyFont="1" applyAlignment="1">
      <alignment horizontal="center"/>
    </xf>
    <xf numFmtId="10" fontId="18" fillId="0" borderId="0" xfId="1" applyNumberFormat="1" applyFont="1" applyAlignment="1">
      <alignment horizontal="left"/>
    </xf>
    <xf numFmtId="10" fontId="18" fillId="0" borderId="0" xfId="1" applyNumberFormat="1" applyFont="1" applyAlignment="1">
      <alignment horizontal="center"/>
    </xf>
    <xf numFmtId="49" fontId="18" fillId="0" borderId="0" xfId="1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2" borderId="5" xfId="0" applyFont="1" applyFill="1" applyBorder="1" applyAlignment="1" applyProtection="1">
      <alignment vertical="center" wrapText="1"/>
      <protection locked="0"/>
    </xf>
    <xf numFmtId="0" fontId="22" fillId="0" borderId="1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49" fontId="23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10" fontId="23" fillId="3" borderId="10" xfId="0" applyNumberFormat="1" applyFont="1" applyFill="1" applyBorder="1" applyAlignment="1">
      <alignment horizontal="center" vertical="center" wrapText="1"/>
    </xf>
    <xf numFmtId="1" fontId="24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23" fillId="3" borderId="0" xfId="0" applyNumberFormat="1" applyFont="1" applyFill="1" applyAlignment="1">
      <alignment horizontal="center" vertical="center"/>
    </xf>
    <xf numFmtId="0" fontId="20" fillId="5" borderId="1" xfId="0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14" fontId="20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 vertical="top"/>
    </xf>
    <xf numFmtId="10" fontId="13" fillId="4" borderId="14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167" fontId="11" fillId="0" borderId="0" xfId="0" applyNumberFormat="1" applyFont="1" applyAlignment="1">
      <alignment horizontal="right" vertical="center"/>
    </xf>
    <xf numFmtId="167" fontId="11" fillId="0" borderId="16" xfId="0" applyNumberFormat="1" applyFont="1" applyBorder="1" applyAlignment="1">
      <alignment horizontal="right" vertical="center"/>
    </xf>
  </cellXfs>
  <cellStyles count="3">
    <cellStyle name="Normal" xfId="0" builtinId="0"/>
    <cellStyle name="Percentagem" xfId="1" builtinId="5"/>
    <cellStyle name="Vírgula" xfId="2" builtinId="3"/>
  </cellStyles>
  <dxfs count="4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4" formatCode="0.00%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4" formatCode="0.00%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ont>
        <b/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numFmt numFmtId="168" formatCode="mmm\-yy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5E5F28E8-A094-4F9E-9F07-54C6F1FCCC62}"/>
  </tableStyles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78441</xdr:rowOff>
    </xdr:from>
    <xdr:to>
      <xdr:col>9</xdr:col>
      <xdr:colOff>22411</xdr:colOff>
      <xdr:row>5</xdr:row>
      <xdr:rowOff>145676</xdr:rowOff>
    </xdr:to>
    <xdr:sp macro="[0]!CopyDataToDatabase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592235" y="1501588"/>
          <a:ext cx="2846294" cy="32497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GRAVAR</a:t>
          </a:r>
          <a:r>
            <a:rPr lang="en-US" sz="1600" b="1" baseline="0"/>
            <a:t> NOTA</a:t>
          </a:r>
          <a:endParaRPr lang="en-US" sz="1600" b="1"/>
        </a:p>
      </xdr:txBody>
    </xdr:sp>
    <xdr:clientData/>
  </xdr:twoCellAnchor>
  <xdr:twoCellAnchor>
    <xdr:from>
      <xdr:col>8</xdr:col>
      <xdr:colOff>11205</xdr:colOff>
      <xdr:row>2</xdr:row>
      <xdr:rowOff>246532</xdr:rowOff>
    </xdr:from>
    <xdr:to>
      <xdr:col>9</xdr:col>
      <xdr:colOff>33616</xdr:colOff>
      <xdr:row>3</xdr:row>
      <xdr:rowOff>224119</xdr:rowOff>
    </xdr:to>
    <xdr:sp macro="[0]!CleanData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9603440" y="1064561"/>
          <a:ext cx="2846294" cy="32497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LIMPAR FORMULÁRIO</a:t>
          </a:r>
        </a:p>
      </xdr:txBody>
    </xdr:sp>
    <xdr:clientData/>
  </xdr:twoCellAnchor>
  <xdr:twoCellAnchor>
    <xdr:from>
      <xdr:col>7</xdr:col>
      <xdr:colOff>600634</xdr:colOff>
      <xdr:row>5</xdr:row>
      <xdr:rowOff>230841</xdr:rowOff>
    </xdr:from>
    <xdr:to>
      <xdr:col>9</xdr:col>
      <xdr:colOff>17928</xdr:colOff>
      <xdr:row>8</xdr:row>
      <xdr:rowOff>85164</xdr:rowOff>
    </xdr:to>
    <xdr:sp macro="[0]!PrintSheet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587752" y="1911723"/>
          <a:ext cx="2846294" cy="324970"/>
        </a:xfrm>
        <a:prstGeom prst="round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IMPRIMIR RELATÓRIO</a:t>
          </a:r>
        </a:p>
      </xdr:txBody>
    </xdr:sp>
    <xdr:clientData/>
  </xdr:twoCellAnchor>
  <xdr:twoCellAnchor editAs="oneCell">
    <xdr:from>
      <xdr:col>6</xdr:col>
      <xdr:colOff>4364004</xdr:colOff>
      <xdr:row>0</xdr:row>
      <xdr:rowOff>0</xdr:rowOff>
    </xdr:from>
    <xdr:to>
      <xdr:col>7</xdr:col>
      <xdr:colOff>17175</xdr:colOff>
      <xdr:row>1</xdr:row>
      <xdr:rowOff>199225</xdr:rowOff>
    </xdr:to>
    <xdr:pic>
      <xdr:nvPicPr>
        <xdr:cNvPr id="2" name="Picture 1" descr="VAMED WWH | Global Healthcare Solutions">
          <a:extLst>
            <a:ext uri="{FF2B5EF4-FFF2-40B4-BE49-F238E27FC236}">
              <a16:creationId xmlns:a16="http://schemas.microsoft.com/office/drawing/2014/main" id="{858489E7-4C02-4EBA-8DCB-0D87A6669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49" y="0"/>
          <a:ext cx="853043" cy="824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1790700</xdr:colOff>
      <xdr:row>3</xdr:row>
      <xdr:rowOff>0</xdr:rowOff>
    </xdr:from>
    <xdr:to>
      <xdr:col>4</xdr:col>
      <xdr:colOff>4676775</xdr:colOff>
      <xdr:row>11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 rot="20879615">
          <a:off x="3390900" y="523875"/>
          <a:ext cx="7924800" cy="13620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>
              <a:solidFill>
                <a:srgbClr val="FF0000"/>
              </a:solidFill>
            </a:rPr>
            <a:t>NÃO EDITAR</a:t>
          </a:r>
          <a:r>
            <a:rPr lang="en-US" sz="4400" baseline="0">
              <a:solidFill>
                <a:srgbClr val="FF0000"/>
              </a:solidFill>
            </a:rPr>
            <a:t> ESTA PÁGINA</a:t>
          </a:r>
          <a:endParaRPr lang="en-US" sz="4400">
            <a:solidFill>
              <a:srgbClr val="FF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H1:H37" totalsRowShown="0" tableBorderDxfId="48">
  <autoFilter ref="H1:H37" xr:uid="{00000000-0009-0000-0100-000003000000}"/>
  <tableColumns count="1">
    <tableColumn id="1" xr3:uid="{00000000-0010-0000-0000-000001000000}" name="Dates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C110" totalsRowShown="0" headerRowDxfId="46" tableBorderDxfId="45">
  <autoFilter ref="A1:C110" xr:uid="{00000000-0009-0000-0100-000001000000}"/>
  <tableColumns count="3">
    <tableColumn id="1" xr3:uid="{00000000-0010-0000-0100-000001000000}" name="ID" dataDxfId="44"/>
    <tableColumn id="2" xr3:uid="{00000000-0010-0000-0100-000002000000}" name="ITENS A VERIFICAR" dataDxfId="43">
      <calculatedColumnFormula>'HSE Checklist'!B10</calculatedColumnFormula>
    </tableColumn>
    <tableColumn id="5" xr3:uid="{CEFC0E2B-27F3-415D-83BD-1B18530DEEFB}" name="Peso Ponderado (1 a 3)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pre_database" displayName="pre_database" ref="A1:G110" totalsRowShown="0">
  <autoFilter ref="A1:G110" xr:uid="{00000000-0009-0000-0100-000006000000}"/>
  <tableColumns count="7">
    <tableColumn id="1" xr3:uid="{00000000-0010-0000-0200-000001000000}" name="Date" dataDxfId="41">
      <calculatedColumnFormula>Calc!$G$1</calculatedColumnFormula>
    </tableColumn>
    <tableColumn id="2" xr3:uid="{00000000-0010-0000-0200-000002000000}" name="Parent ID" dataDxfId="40"/>
    <tableColumn id="3" xr3:uid="{00000000-0010-0000-0200-000003000000}" name="Parent Item" dataDxfId="39">
      <calculatedColumnFormula>'HSE Checklist'!$B$112</calculatedColumnFormula>
    </tableColumn>
    <tableColumn id="4" xr3:uid="{00000000-0010-0000-0200-000004000000}" name="ID" dataDxfId="38"/>
    <tableColumn id="5" xr3:uid="{00000000-0010-0000-0200-000005000000}" name="Item" dataDxfId="37">
      <calculatedColumnFormula>'HSE Checklist'!B17</calculatedColumnFormula>
    </tableColumn>
    <tableColumn id="6" xr3:uid="{00000000-0010-0000-0200-000006000000}" name="Evaluation" dataDxfId="36">
      <calculatedColumnFormula>VLOOKUP(D2,Calc!A2:G108,5,FALSE)</calculatedColumnFormula>
    </tableColumn>
    <tableColumn id="7" xr3:uid="{00000000-0010-0000-0200-000007000000}" name="Total Evaluation (month)" dataDxfId="35">
      <calculatedColumnFormula>Calc!$G$112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HSE_checklist_database" displayName="HSE_checklist_database" ref="A1:G2" totalsRowShown="0" headerRowDxfId="34" dataDxfId="33">
  <autoFilter ref="A1:G2" xr:uid="{00000000-0009-0000-0100-000002000000}"/>
  <tableColumns count="7">
    <tableColumn id="1" xr3:uid="{00000000-0010-0000-0300-000001000000}" name="Date" dataDxfId="32"/>
    <tableColumn id="2" xr3:uid="{00000000-0010-0000-0300-000002000000}" name="Parent ID" dataDxfId="31"/>
    <tableColumn id="3" xr3:uid="{00000000-0010-0000-0300-000003000000}" name="Parent Item" dataDxfId="30"/>
    <tableColumn id="4" xr3:uid="{00000000-0010-0000-0300-000004000000}" name="ID" dataDxfId="29"/>
    <tableColumn id="5" xr3:uid="{00000000-0010-0000-0300-000005000000}" name="Item" dataDxfId="28"/>
    <tableColumn id="6" xr3:uid="{00000000-0010-0000-0300-000006000000}" name="Evaluation" dataDxfId="27"/>
    <tableColumn id="7" xr3:uid="{00000000-0010-0000-0300-000007000000}" name="Total Evaluation (month)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H41"/>
  <sheetViews>
    <sheetView showGridLines="0" workbookViewId="0">
      <selection activeCell="C2" sqref="C2"/>
    </sheetView>
  </sheetViews>
  <sheetFormatPr defaultColWidth="8.85546875" defaultRowHeight="12.75" x14ac:dyDescent="0.2"/>
  <cols>
    <col min="1" max="1" width="9.140625" style="1"/>
    <col min="2" max="2" width="3.28515625" style="1" bestFit="1" customWidth="1"/>
    <col min="3" max="3" width="29.85546875" style="1" bestFit="1" customWidth="1"/>
    <col min="4" max="4" width="3.28515625" style="1" bestFit="1" customWidth="1"/>
    <col min="5" max="5" width="9.140625" style="1"/>
  </cols>
  <sheetData>
    <row r="1" spans="1:8" x14ac:dyDescent="0.2">
      <c r="A1" s="34">
        <v>0</v>
      </c>
      <c r="B1" s="35" t="s">
        <v>0</v>
      </c>
      <c r="C1" s="35" t="s">
        <v>278</v>
      </c>
      <c r="D1" s="35" t="s">
        <v>1</v>
      </c>
      <c r="E1" s="36">
        <v>0.5</v>
      </c>
      <c r="H1" t="s">
        <v>2</v>
      </c>
    </row>
    <row r="2" spans="1:8" x14ac:dyDescent="0.2">
      <c r="A2" s="37">
        <v>0.5</v>
      </c>
      <c r="B2" s="1" t="s">
        <v>0</v>
      </c>
      <c r="C2" s="1" t="s">
        <v>279</v>
      </c>
      <c r="D2" s="1" t="s">
        <v>1</v>
      </c>
      <c r="E2" s="38">
        <v>0.8</v>
      </c>
      <c r="H2" s="42">
        <v>44927</v>
      </c>
    </row>
    <row r="3" spans="1:8" x14ac:dyDescent="0.2">
      <c r="A3" s="37">
        <v>0.8</v>
      </c>
      <c r="B3" s="1" t="s">
        <v>0</v>
      </c>
      <c r="C3" s="1" t="s">
        <v>280</v>
      </c>
      <c r="D3" s="1" t="s">
        <v>1</v>
      </c>
      <c r="E3" s="38">
        <v>0.95</v>
      </c>
      <c r="H3" s="33">
        <v>44958</v>
      </c>
    </row>
    <row r="4" spans="1:8" x14ac:dyDescent="0.2">
      <c r="A4" s="39">
        <v>0.95</v>
      </c>
      <c r="B4" s="40" t="s">
        <v>0</v>
      </c>
      <c r="C4" s="40" t="s">
        <v>281</v>
      </c>
      <c r="D4" s="40" t="s">
        <v>0</v>
      </c>
      <c r="E4" s="41">
        <v>1</v>
      </c>
      <c r="H4" s="33">
        <v>44986</v>
      </c>
    </row>
    <row r="5" spans="1:8" x14ac:dyDescent="0.2">
      <c r="H5" s="33">
        <v>45017</v>
      </c>
    </row>
    <row r="6" spans="1:8" x14ac:dyDescent="0.2">
      <c r="H6" s="33">
        <v>45047</v>
      </c>
    </row>
    <row r="7" spans="1:8" x14ac:dyDescent="0.2">
      <c r="H7" s="33">
        <v>45078</v>
      </c>
    </row>
    <row r="8" spans="1:8" x14ac:dyDescent="0.2">
      <c r="H8" s="33">
        <v>45108</v>
      </c>
    </row>
    <row r="9" spans="1:8" x14ac:dyDescent="0.2">
      <c r="H9" s="33">
        <v>45139</v>
      </c>
    </row>
    <row r="10" spans="1:8" x14ac:dyDescent="0.2">
      <c r="H10" s="33">
        <v>45170</v>
      </c>
    </row>
    <row r="11" spans="1:8" x14ac:dyDescent="0.2">
      <c r="H11" s="33">
        <v>45200</v>
      </c>
    </row>
    <row r="12" spans="1:8" x14ac:dyDescent="0.2">
      <c r="H12" s="33">
        <v>45231</v>
      </c>
    </row>
    <row r="13" spans="1:8" x14ac:dyDescent="0.2">
      <c r="H13" s="33">
        <v>45261</v>
      </c>
    </row>
    <row r="14" spans="1:8" x14ac:dyDescent="0.2">
      <c r="H14" s="33">
        <v>45292</v>
      </c>
    </row>
    <row r="15" spans="1:8" x14ac:dyDescent="0.2">
      <c r="H15" s="33">
        <v>45323</v>
      </c>
    </row>
    <row r="16" spans="1:8" x14ac:dyDescent="0.2">
      <c r="H16" s="33">
        <v>45352</v>
      </c>
    </row>
    <row r="17" spans="8:8" x14ac:dyDescent="0.2">
      <c r="H17" s="33">
        <v>45383</v>
      </c>
    </row>
    <row r="18" spans="8:8" x14ac:dyDescent="0.2">
      <c r="H18" s="33">
        <v>45413</v>
      </c>
    </row>
    <row r="19" spans="8:8" x14ac:dyDescent="0.2">
      <c r="H19" s="33">
        <v>45444</v>
      </c>
    </row>
    <row r="20" spans="8:8" x14ac:dyDescent="0.2">
      <c r="H20" s="33">
        <v>45474</v>
      </c>
    </row>
    <row r="21" spans="8:8" x14ac:dyDescent="0.2">
      <c r="H21" s="33">
        <v>45505</v>
      </c>
    </row>
    <row r="22" spans="8:8" x14ac:dyDescent="0.2">
      <c r="H22" s="33">
        <v>45536</v>
      </c>
    </row>
    <row r="23" spans="8:8" x14ac:dyDescent="0.2">
      <c r="H23" s="33">
        <v>45566</v>
      </c>
    </row>
    <row r="24" spans="8:8" x14ac:dyDescent="0.2">
      <c r="H24" s="33">
        <v>45597</v>
      </c>
    </row>
    <row r="25" spans="8:8" x14ac:dyDescent="0.2">
      <c r="H25" s="33">
        <v>45627</v>
      </c>
    </row>
    <row r="26" spans="8:8" x14ac:dyDescent="0.2">
      <c r="H26" s="33">
        <v>45658</v>
      </c>
    </row>
    <row r="27" spans="8:8" x14ac:dyDescent="0.2">
      <c r="H27" s="33">
        <v>45689</v>
      </c>
    </row>
    <row r="28" spans="8:8" x14ac:dyDescent="0.2">
      <c r="H28" s="33">
        <v>45717</v>
      </c>
    </row>
    <row r="29" spans="8:8" x14ac:dyDescent="0.2">
      <c r="H29" s="33">
        <v>45748</v>
      </c>
    </row>
    <row r="30" spans="8:8" x14ac:dyDescent="0.2">
      <c r="H30" s="33">
        <v>45778</v>
      </c>
    </row>
    <row r="31" spans="8:8" x14ac:dyDescent="0.2">
      <c r="H31" s="33">
        <v>45809</v>
      </c>
    </row>
    <row r="32" spans="8:8" x14ac:dyDescent="0.2">
      <c r="H32" s="33">
        <v>45839</v>
      </c>
    </row>
    <row r="33" spans="8:8" x14ac:dyDescent="0.2">
      <c r="H33" s="33">
        <v>45870</v>
      </c>
    </row>
    <row r="34" spans="8:8" x14ac:dyDescent="0.2">
      <c r="H34" s="33">
        <v>45901</v>
      </c>
    </row>
    <row r="35" spans="8:8" x14ac:dyDescent="0.2">
      <c r="H35" s="33">
        <v>45931</v>
      </c>
    </row>
    <row r="36" spans="8:8" x14ac:dyDescent="0.2">
      <c r="H36" s="33">
        <v>45962</v>
      </c>
    </row>
    <row r="37" spans="8:8" x14ac:dyDescent="0.2">
      <c r="H37" s="33">
        <v>45992</v>
      </c>
    </row>
    <row r="38" spans="8:8" x14ac:dyDescent="0.2">
      <c r="H38" s="33"/>
    </row>
    <row r="39" spans="8:8" x14ac:dyDescent="0.2">
      <c r="H39" s="33"/>
    </row>
    <row r="40" spans="8:8" x14ac:dyDescent="0.2">
      <c r="H40" s="33"/>
    </row>
    <row r="41" spans="8:8" x14ac:dyDescent="0.2">
      <c r="H41" s="3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B0F0"/>
    <pageSetUpPr fitToPage="1"/>
  </sheetPr>
  <dimension ref="A1:Q142"/>
  <sheetViews>
    <sheetView showGridLines="0" tabSelected="1" zoomScale="98" zoomScaleNormal="98" zoomScaleSheetLayoutView="85" workbookViewId="0">
      <pane ySplit="9" topLeftCell="A10" activePane="bottomLeft" state="frozen"/>
      <selection pane="bottomLeft" activeCell="G77" sqref="G77"/>
    </sheetView>
  </sheetViews>
  <sheetFormatPr defaultColWidth="8.85546875" defaultRowHeight="12.75" x14ac:dyDescent="0.2"/>
  <cols>
    <col min="1" max="1" width="12" customWidth="1"/>
    <col min="2" max="2" width="10.28515625" style="3" customWidth="1"/>
    <col min="3" max="3" width="54.28515625" style="3" customWidth="1"/>
    <col min="4" max="5" width="5.7109375" style="20" customWidth="1"/>
    <col min="6" max="6" width="6.42578125" style="20" customWidth="1"/>
    <col min="7" max="7" width="74.42578125" customWidth="1"/>
    <col min="8" max="8" width="9.140625" style="72"/>
    <col min="9" max="9" width="42.42578125" customWidth="1"/>
    <col min="11" max="11" width="10.42578125" customWidth="1"/>
    <col min="12" max="12" width="10.28515625" customWidth="1"/>
    <col min="13" max="13" width="13.42578125" customWidth="1"/>
  </cols>
  <sheetData>
    <row r="1" spans="1:17" ht="48.75" customHeight="1" x14ac:dyDescent="0.2">
      <c r="A1" s="103" t="s">
        <v>3</v>
      </c>
      <c r="B1" s="103"/>
      <c r="C1" s="103"/>
      <c r="D1" s="103"/>
      <c r="E1" s="103"/>
      <c r="F1" s="103"/>
      <c r="G1" s="103"/>
      <c r="I1" s="23" t="str">
        <f>IF(COUNTA(D11:F126)=(COUNTA(A10:A126)-8),"FORMULÁRIO COMPLETO","FORMULÁRIO INCOMPLETO")</f>
        <v>FORMULÁRIO COMPLETO</v>
      </c>
      <c r="K1" s="30" t="s">
        <v>4</v>
      </c>
    </row>
    <row r="2" spans="1:17" ht="15.75" customHeight="1" thickBot="1" x14ac:dyDescent="0.25">
      <c r="A2" s="105" t="s">
        <v>5</v>
      </c>
      <c r="B2" s="105"/>
      <c r="C2" s="105"/>
      <c r="D2" s="105"/>
      <c r="E2" s="105"/>
      <c r="F2" s="105"/>
      <c r="G2" s="105"/>
      <c r="K2" s="96" t="s">
        <v>6</v>
      </c>
      <c r="L2" s="96"/>
      <c r="M2" s="96"/>
      <c r="N2" s="96"/>
      <c r="O2" s="96"/>
      <c r="P2" s="96"/>
      <c r="Q2" s="96"/>
    </row>
    <row r="3" spans="1:17" s="2" customFormat="1" ht="27" customHeight="1" x14ac:dyDescent="0.2">
      <c r="A3" s="104" t="s">
        <v>7</v>
      </c>
      <c r="B3" s="104"/>
      <c r="C3" s="104"/>
      <c r="D3" s="104"/>
      <c r="E3" s="104"/>
      <c r="F3" s="104"/>
      <c r="G3" s="104"/>
      <c r="H3" s="71"/>
      <c r="K3" s="96"/>
      <c r="L3" s="96"/>
      <c r="M3" s="96"/>
      <c r="N3" s="96"/>
      <c r="O3" s="96"/>
      <c r="P3" s="96"/>
      <c r="Q3" s="96"/>
    </row>
    <row r="4" spans="1:17" s="2" customFormat="1" ht="18" customHeight="1" x14ac:dyDescent="0.2">
      <c r="A4" s="110" t="s">
        <v>8</v>
      </c>
      <c r="B4" s="111"/>
      <c r="C4" s="11" t="s">
        <v>283</v>
      </c>
      <c r="D4" s="100" t="s">
        <v>9</v>
      </c>
      <c r="E4" s="101"/>
      <c r="F4" s="102"/>
      <c r="G4" s="10" t="s">
        <v>285</v>
      </c>
      <c r="H4" s="71"/>
      <c r="K4" s="96"/>
      <c r="L4" s="96"/>
      <c r="M4" s="96"/>
      <c r="N4" s="96"/>
      <c r="O4" s="96"/>
      <c r="P4" s="96"/>
      <c r="Q4" s="96"/>
    </row>
    <row r="5" spans="1:17" s="2" customFormat="1" ht="21.75" customHeight="1" x14ac:dyDescent="0.2">
      <c r="A5" s="112" t="s">
        <v>10</v>
      </c>
      <c r="B5" s="113"/>
      <c r="C5" s="12" t="s">
        <v>282</v>
      </c>
      <c r="D5" s="97" t="s">
        <v>229</v>
      </c>
      <c r="E5" s="98"/>
      <c r="F5" s="99"/>
      <c r="G5" s="46">
        <v>45017</v>
      </c>
      <c r="H5" s="71"/>
      <c r="K5" s="96"/>
      <c r="L5" s="96"/>
      <c r="M5" s="96"/>
      <c r="N5" s="96"/>
      <c r="O5" s="96"/>
      <c r="P5" s="96"/>
      <c r="Q5" s="96"/>
    </row>
    <row r="6" spans="1:17" ht="26.25" customHeight="1" x14ac:dyDescent="0.2">
      <c r="A6" s="112" t="s">
        <v>11</v>
      </c>
      <c r="B6" s="113"/>
      <c r="C6" s="114" t="s">
        <v>286</v>
      </c>
      <c r="D6" s="115"/>
      <c r="E6" s="115"/>
      <c r="F6" s="115"/>
      <c r="G6" s="115"/>
      <c r="K6" s="96"/>
      <c r="L6" s="96"/>
      <c r="M6" s="96"/>
      <c r="N6" s="96"/>
      <c r="O6" s="96"/>
      <c r="P6" s="96"/>
      <c r="Q6" s="96"/>
    </row>
    <row r="7" spans="1:17" ht="3.75" customHeight="1" x14ac:dyDescent="0.2">
      <c r="A7" s="107"/>
      <c r="B7" s="107"/>
      <c r="C7" s="107"/>
      <c r="D7" s="107"/>
      <c r="E7" s="107"/>
      <c r="F7" s="107"/>
      <c r="G7" s="107"/>
      <c r="K7" s="96"/>
      <c r="L7" s="96"/>
      <c r="M7" s="96"/>
      <c r="N7" s="96"/>
      <c r="O7" s="96"/>
      <c r="P7" s="96"/>
      <c r="Q7" s="96"/>
    </row>
    <row r="8" spans="1:17" ht="13.5" customHeight="1" x14ac:dyDescent="0.2">
      <c r="A8" s="5" t="s">
        <v>12</v>
      </c>
      <c r="B8" s="116" t="s">
        <v>13</v>
      </c>
      <c r="C8" s="117"/>
      <c r="D8" s="5" t="s">
        <v>14</v>
      </c>
      <c r="E8" s="5" t="s">
        <v>15</v>
      </c>
      <c r="F8" s="5" t="s">
        <v>16</v>
      </c>
      <c r="G8" s="5" t="s">
        <v>17</v>
      </c>
      <c r="K8" s="96"/>
      <c r="L8" s="96"/>
      <c r="M8" s="96"/>
      <c r="N8" s="96"/>
      <c r="O8" s="96"/>
      <c r="P8" s="96"/>
      <c r="Q8" s="96"/>
    </row>
    <row r="9" spans="1:17" x14ac:dyDescent="0.2">
      <c r="A9" s="106" t="s">
        <v>18</v>
      </c>
      <c r="B9" s="106"/>
      <c r="C9" s="106"/>
      <c r="D9" s="106"/>
      <c r="E9" s="106"/>
      <c r="F9" s="106"/>
      <c r="G9" s="106"/>
      <c r="K9" s="127" t="s">
        <v>19</v>
      </c>
      <c r="L9" s="127"/>
      <c r="M9" s="32" t="str">
        <f>IF(SUM(HSE_checklist_database[Date])=0,"",MAX(HSE_checklist_database[Date]))</f>
        <v/>
      </c>
    </row>
    <row r="10" spans="1:17" ht="15" x14ac:dyDescent="0.2">
      <c r="A10" s="78">
        <v>1</v>
      </c>
      <c r="B10" s="21" t="s">
        <v>20</v>
      </c>
      <c r="C10" s="22"/>
      <c r="D10" s="28"/>
      <c r="E10" s="28"/>
      <c r="F10" s="28"/>
      <c r="G10" s="29"/>
      <c r="I10" s="45"/>
    </row>
    <row r="11" spans="1:17" ht="28.5" customHeight="1" x14ac:dyDescent="0.2">
      <c r="A11" s="79">
        <v>1.1000000000000001</v>
      </c>
      <c r="B11" s="108" t="s">
        <v>21</v>
      </c>
      <c r="C11" s="109"/>
      <c r="D11" s="19" t="s">
        <v>284</v>
      </c>
      <c r="E11" s="19"/>
      <c r="F11" s="19"/>
      <c r="G11" s="82"/>
      <c r="H11" s="72" t="str">
        <f t="shared" ref="H11:H87" si="0">IF(AND(E11="X",G11=""),"&lt;&lt;&lt; Escreva uma justificativa para esta Não Conformidade!","")</f>
        <v/>
      </c>
    </row>
    <row r="12" spans="1:17" ht="28.5" customHeight="1" x14ac:dyDescent="0.2">
      <c r="A12" s="79">
        <v>1.2</v>
      </c>
      <c r="B12" s="108" t="s">
        <v>22</v>
      </c>
      <c r="C12" s="109"/>
      <c r="D12" s="19" t="s">
        <v>284</v>
      </c>
      <c r="E12" s="19"/>
      <c r="F12" s="19"/>
      <c r="G12" s="82"/>
      <c r="H12" s="72" t="str">
        <f t="shared" si="0"/>
        <v/>
      </c>
      <c r="I12" s="33"/>
    </row>
    <row r="13" spans="1:17" ht="28.5" customHeight="1" x14ac:dyDescent="0.2">
      <c r="A13" s="79">
        <v>1.3</v>
      </c>
      <c r="B13" s="108" t="s">
        <v>23</v>
      </c>
      <c r="C13" s="109"/>
      <c r="D13" s="19" t="s">
        <v>284</v>
      </c>
      <c r="E13" s="19"/>
      <c r="F13" s="19"/>
      <c r="G13" s="82"/>
      <c r="H13" s="72" t="str">
        <f t="shared" si="0"/>
        <v/>
      </c>
      <c r="I13" s="33"/>
    </row>
    <row r="14" spans="1:17" ht="28.5" customHeight="1" x14ac:dyDescent="0.2">
      <c r="A14" s="79">
        <v>1.4</v>
      </c>
      <c r="B14" s="108" t="s">
        <v>24</v>
      </c>
      <c r="C14" s="109"/>
      <c r="D14" s="19" t="s">
        <v>284</v>
      </c>
      <c r="E14" s="19"/>
      <c r="F14" s="19"/>
      <c r="G14" s="82"/>
      <c r="H14" s="72" t="str">
        <f t="shared" si="0"/>
        <v/>
      </c>
      <c r="I14" s="33"/>
    </row>
    <row r="15" spans="1:17" ht="28.5" customHeight="1" x14ac:dyDescent="0.2">
      <c r="A15" s="79">
        <v>1.5</v>
      </c>
      <c r="B15" s="108" t="s">
        <v>25</v>
      </c>
      <c r="C15" s="109"/>
      <c r="D15" s="19" t="s">
        <v>284</v>
      </c>
      <c r="E15" s="19"/>
      <c r="F15" s="19"/>
      <c r="G15" s="82"/>
      <c r="H15" s="72" t="str">
        <f t="shared" si="0"/>
        <v/>
      </c>
      <c r="I15" s="33"/>
    </row>
    <row r="16" spans="1:17" ht="28.5" customHeight="1" x14ac:dyDescent="0.2">
      <c r="A16" s="79">
        <v>1.6</v>
      </c>
      <c r="B16" s="108" t="s">
        <v>26</v>
      </c>
      <c r="C16" s="109"/>
      <c r="D16" s="19" t="s">
        <v>284</v>
      </c>
      <c r="E16" s="19"/>
      <c r="F16" s="19"/>
      <c r="G16" s="82"/>
      <c r="H16" s="72" t="str">
        <f t="shared" si="0"/>
        <v/>
      </c>
      <c r="I16" s="33"/>
    </row>
    <row r="17" spans="1:9" ht="28.5" customHeight="1" x14ac:dyDescent="0.2">
      <c r="A17" s="79">
        <v>1.7</v>
      </c>
      <c r="B17" s="108" t="s">
        <v>27</v>
      </c>
      <c r="C17" s="109"/>
      <c r="D17" s="19" t="s">
        <v>284</v>
      </c>
      <c r="E17" s="19"/>
      <c r="F17" s="19"/>
      <c r="G17" s="82"/>
      <c r="H17" s="72" t="str">
        <f t="shared" si="0"/>
        <v/>
      </c>
      <c r="I17" s="43"/>
    </row>
    <row r="18" spans="1:9" ht="28.5" customHeight="1" x14ac:dyDescent="0.2">
      <c r="A18" s="79">
        <v>1.8</v>
      </c>
      <c r="B18" s="108" t="s">
        <v>28</v>
      </c>
      <c r="C18" s="109"/>
      <c r="D18" s="19" t="s">
        <v>284</v>
      </c>
      <c r="E18" s="19"/>
      <c r="F18" s="19"/>
      <c r="G18" s="82"/>
      <c r="H18" s="72" t="str">
        <f t="shared" si="0"/>
        <v/>
      </c>
      <c r="I18" s="33"/>
    </row>
    <row r="19" spans="1:9" ht="28.5" customHeight="1" x14ac:dyDescent="0.2">
      <c r="A19" s="79">
        <v>1.9</v>
      </c>
      <c r="B19" s="108" t="s">
        <v>287</v>
      </c>
      <c r="C19" s="109"/>
      <c r="D19" s="19" t="s">
        <v>284</v>
      </c>
      <c r="E19" s="19"/>
      <c r="F19" s="19"/>
      <c r="G19" s="82"/>
      <c r="H19" s="72" t="str">
        <f t="shared" si="0"/>
        <v/>
      </c>
      <c r="I19" s="33"/>
    </row>
    <row r="20" spans="1:9" ht="28.5" customHeight="1" x14ac:dyDescent="0.2">
      <c r="A20" s="79" t="s">
        <v>29</v>
      </c>
      <c r="B20" s="108" t="s">
        <v>30</v>
      </c>
      <c r="C20" s="109"/>
      <c r="D20" s="19" t="s">
        <v>284</v>
      </c>
      <c r="E20" s="19"/>
      <c r="F20" s="19"/>
      <c r="G20" s="82"/>
      <c r="H20" s="72" t="str">
        <f t="shared" si="0"/>
        <v/>
      </c>
      <c r="I20" s="33"/>
    </row>
    <row r="21" spans="1:9" ht="28.5" customHeight="1" x14ac:dyDescent="0.2">
      <c r="A21" s="79">
        <v>1.1100000000000001</v>
      </c>
      <c r="B21" s="108" t="s">
        <v>31</v>
      </c>
      <c r="C21" s="109"/>
      <c r="D21" s="19" t="s">
        <v>284</v>
      </c>
      <c r="E21" s="19"/>
      <c r="F21" s="19"/>
      <c r="G21" s="82"/>
      <c r="H21" s="72" t="str">
        <f t="shared" si="0"/>
        <v/>
      </c>
      <c r="I21" s="33"/>
    </row>
    <row r="22" spans="1:9" ht="28.5" customHeight="1" x14ac:dyDescent="0.2">
      <c r="A22" s="79">
        <v>1.1200000000000001</v>
      </c>
      <c r="B22" s="108" t="s">
        <v>32</v>
      </c>
      <c r="C22" s="109"/>
      <c r="D22" s="19" t="s">
        <v>284</v>
      </c>
      <c r="E22" s="19"/>
      <c r="F22" s="19"/>
      <c r="G22" s="82"/>
      <c r="H22" s="72" t="str">
        <f t="shared" si="0"/>
        <v/>
      </c>
      <c r="I22" s="33"/>
    </row>
    <row r="23" spans="1:9" ht="28.5" customHeight="1" x14ac:dyDescent="0.2">
      <c r="A23" s="79">
        <v>1.1299999999999999</v>
      </c>
      <c r="B23" s="108" t="s">
        <v>33</v>
      </c>
      <c r="C23" s="109"/>
      <c r="D23" s="19" t="s">
        <v>284</v>
      </c>
      <c r="E23" s="19"/>
      <c r="F23" s="19"/>
      <c r="G23" s="82"/>
      <c r="H23" s="72" t="str">
        <f t="shared" si="0"/>
        <v/>
      </c>
      <c r="I23" s="33"/>
    </row>
    <row r="24" spans="1:9" ht="28.5" customHeight="1" x14ac:dyDescent="0.2">
      <c r="A24" s="79">
        <v>1.1399999999999999</v>
      </c>
      <c r="B24" s="108" t="s">
        <v>34</v>
      </c>
      <c r="C24" s="109"/>
      <c r="D24" s="19" t="s">
        <v>284</v>
      </c>
      <c r="E24" s="19"/>
      <c r="F24" s="19"/>
      <c r="G24" s="82"/>
      <c r="H24" s="72" t="str">
        <f t="shared" si="0"/>
        <v/>
      </c>
      <c r="I24" s="33"/>
    </row>
    <row r="25" spans="1:9" ht="28.5" customHeight="1" x14ac:dyDescent="0.2">
      <c r="A25" s="79">
        <v>1.1499999999999999</v>
      </c>
      <c r="B25" s="108" t="s">
        <v>35</v>
      </c>
      <c r="C25" s="109"/>
      <c r="D25" s="19" t="s">
        <v>284</v>
      </c>
      <c r="E25" s="19"/>
      <c r="F25" s="19"/>
      <c r="G25" s="82"/>
      <c r="H25" s="72" t="str">
        <f t="shared" si="0"/>
        <v/>
      </c>
      <c r="I25" s="33"/>
    </row>
    <row r="26" spans="1:9" ht="28.5" customHeight="1" x14ac:dyDescent="0.2">
      <c r="A26" s="79">
        <v>1.1599999999999999</v>
      </c>
      <c r="B26" s="108" t="s">
        <v>36</v>
      </c>
      <c r="C26" s="109"/>
      <c r="D26" s="19"/>
      <c r="E26" s="19"/>
      <c r="F26" s="19" t="s">
        <v>284</v>
      </c>
      <c r="G26" s="82" t="s">
        <v>291</v>
      </c>
      <c r="H26" s="72" t="str">
        <f t="shared" si="0"/>
        <v/>
      </c>
      <c r="I26" s="33"/>
    </row>
    <row r="27" spans="1:9" ht="28.5" customHeight="1" x14ac:dyDescent="0.2">
      <c r="A27" s="79">
        <v>1.17</v>
      </c>
      <c r="B27" s="108" t="s">
        <v>37</v>
      </c>
      <c r="C27" s="109"/>
      <c r="D27" s="19" t="s">
        <v>284</v>
      </c>
      <c r="E27" s="19"/>
      <c r="F27" s="19"/>
      <c r="G27" s="82"/>
      <c r="H27" s="72" t="str">
        <f t="shared" si="0"/>
        <v/>
      </c>
      <c r="I27" s="33"/>
    </row>
    <row r="28" spans="1:9" ht="28.5" customHeight="1" x14ac:dyDescent="0.2">
      <c r="A28" s="79">
        <v>1.18</v>
      </c>
      <c r="B28" s="108" t="s">
        <v>38</v>
      </c>
      <c r="C28" s="109"/>
      <c r="D28" s="19" t="s">
        <v>284</v>
      </c>
      <c r="E28" s="19"/>
      <c r="F28" s="19"/>
      <c r="G28" s="82"/>
      <c r="H28" s="72" t="str">
        <f t="shared" si="0"/>
        <v/>
      </c>
      <c r="I28" s="33"/>
    </row>
    <row r="29" spans="1:9" ht="28.5" customHeight="1" x14ac:dyDescent="0.2">
      <c r="A29" s="79">
        <v>1.19</v>
      </c>
      <c r="B29" s="108" t="s">
        <v>40</v>
      </c>
      <c r="C29" s="109"/>
      <c r="D29" s="19" t="s">
        <v>284</v>
      </c>
      <c r="E29" s="19"/>
      <c r="F29" s="19"/>
      <c r="G29" s="82"/>
      <c r="H29" s="72" t="str">
        <f t="shared" si="0"/>
        <v/>
      </c>
      <c r="I29" s="33"/>
    </row>
    <row r="30" spans="1:9" ht="28.5" customHeight="1" x14ac:dyDescent="0.2">
      <c r="A30" s="79" t="s">
        <v>39</v>
      </c>
      <c r="B30" s="108" t="s">
        <v>41</v>
      </c>
      <c r="C30" s="109"/>
      <c r="D30" s="19" t="s">
        <v>284</v>
      </c>
      <c r="E30" s="19"/>
      <c r="F30" s="19"/>
      <c r="G30" s="82"/>
      <c r="H30" s="72" t="str">
        <f t="shared" si="0"/>
        <v/>
      </c>
      <c r="I30" s="33"/>
    </row>
    <row r="31" spans="1:9" ht="28.5" customHeight="1" x14ac:dyDescent="0.2">
      <c r="A31" s="79">
        <v>1.21</v>
      </c>
      <c r="B31" s="108" t="s">
        <v>42</v>
      </c>
      <c r="C31" s="109"/>
      <c r="D31" s="19" t="s">
        <v>284</v>
      </c>
      <c r="E31" s="19"/>
      <c r="F31" s="19"/>
      <c r="G31" s="82"/>
      <c r="H31" s="72" t="str">
        <f t="shared" si="0"/>
        <v/>
      </c>
    </row>
    <row r="32" spans="1:9" ht="28.5" customHeight="1" x14ac:dyDescent="0.2">
      <c r="A32" s="79">
        <v>1.22</v>
      </c>
      <c r="B32" s="108" t="s">
        <v>231</v>
      </c>
      <c r="C32" s="109"/>
      <c r="D32" s="19" t="s">
        <v>284</v>
      </c>
      <c r="E32" s="19"/>
      <c r="F32" s="19"/>
      <c r="G32" s="92"/>
    </row>
    <row r="33" spans="1:8" ht="28.5" customHeight="1" x14ac:dyDescent="0.2">
      <c r="A33" s="79" t="s">
        <v>230</v>
      </c>
      <c r="B33" s="108" t="s">
        <v>232</v>
      </c>
      <c r="C33" s="109"/>
      <c r="D33" s="19" t="s">
        <v>284</v>
      </c>
      <c r="E33" s="19"/>
      <c r="F33" s="19"/>
      <c r="G33" s="92"/>
    </row>
    <row r="34" spans="1:8" ht="28.5" customHeight="1" x14ac:dyDescent="0.2">
      <c r="A34" s="79" t="s">
        <v>233</v>
      </c>
      <c r="B34" s="108" t="s">
        <v>234</v>
      </c>
      <c r="C34" s="109"/>
      <c r="D34" s="19" t="s">
        <v>284</v>
      </c>
      <c r="E34" s="19"/>
      <c r="F34" s="19"/>
      <c r="G34" s="95"/>
    </row>
    <row r="35" spans="1:8" ht="28.5" customHeight="1" x14ac:dyDescent="0.2">
      <c r="A35" s="79" t="s">
        <v>235</v>
      </c>
      <c r="B35" s="108" t="s">
        <v>237</v>
      </c>
      <c r="C35" s="109"/>
      <c r="D35" s="19" t="s">
        <v>284</v>
      </c>
      <c r="E35" s="19"/>
      <c r="F35" s="19"/>
      <c r="G35" s="92"/>
    </row>
    <row r="36" spans="1:8" ht="28.5" customHeight="1" x14ac:dyDescent="0.2">
      <c r="A36" s="79" t="s">
        <v>236</v>
      </c>
      <c r="B36" s="108" t="s">
        <v>239</v>
      </c>
      <c r="C36" s="109"/>
      <c r="D36" s="19" t="s">
        <v>284</v>
      </c>
      <c r="E36" s="19"/>
      <c r="F36" s="19"/>
      <c r="G36" s="92"/>
    </row>
    <row r="37" spans="1:8" ht="28.5" customHeight="1" x14ac:dyDescent="0.2">
      <c r="A37" s="79" t="s">
        <v>238</v>
      </c>
      <c r="B37" s="108" t="s">
        <v>241</v>
      </c>
      <c r="C37" s="109"/>
      <c r="D37" s="19" t="s">
        <v>284</v>
      </c>
      <c r="E37" s="19"/>
      <c r="F37" s="19"/>
      <c r="G37" s="92"/>
    </row>
    <row r="38" spans="1:8" ht="28.5" customHeight="1" x14ac:dyDescent="0.2">
      <c r="A38" s="79" t="s">
        <v>240</v>
      </c>
      <c r="B38" s="108" t="s">
        <v>243</v>
      </c>
      <c r="C38" s="109"/>
      <c r="D38" s="19" t="s">
        <v>284</v>
      </c>
      <c r="E38" s="19"/>
      <c r="F38" s="19"/>
      <c r="G38" s="92" t="s">
        <v>288</v>
      </c>
    </row>
    <row r="39" spans="1:8" ht="28.5" customHeight="1" x14ac:dyDescent="0.2">
      <c r="A39" s="79" t="s">
        <v>242</v>
      </c>
      <c r="B39" s="108" t="s">
        <v>247</v>
      </c>
      <c r="C39" s="109"/>
      <c r="D39" s="19" t="s">
        <v>284</v>
      </c>
      <c r="E39" s="19"/>
      <c r="F39" s="19"/>
      <c r="G39" s="92"/>
    </row>
    <row r="40" spans="1:8" ht="28.5" customHeight="1" x14ac:dyDescent="0.2">
      <c r="A40" s="79" t="s">
        <v>244</v>
      </c>
      <c r="B40" s="108" t="s">
        <v>248</v>
      </c>
      <c r="C40" s="109"/>
      <c r="D40" s="19" t="s">
        <v>284</v>
      </c>
      <c r="E40" s="19"/>
      <c r="F40" s="19"/>
      <c r="G40" s="92"/>
    </row>
    <row r="41" spans="1:8" ht="28.5" customHeight="1" x14ac:dyDescent="0.2">
      <c r="A41" s="79" t="s">
        <v>245</v>
      </c>
      <c r="B41" s="108" t="s">
        <v>249</v>
      </c>
      <c r="C41" s="109"/>
      <c r="D41" s="19" t="s">
        <v>284</v>
      </c>
      <c r="E41" s="19"/>
      <c r="F41" s="19"/>
      <c r="G41" s="92"/>
    </row>
    <row r="42" spans="1:8" ht="28.5" customHeight="1" x14ac:dyDescent="0.2">
      <c r="A42" s="79" t="s">
        <v>246</v>
      </c>
      <c r="B42" s="108" t="s">
        <v>254</v>
      </c>
      <c r="C42" s="109"/>
      <c r="D42" s="19" t="s">
        <v>284</v>
      </c>
      <c r="E42" s="19"/>
      <c r="F42" s="19"/>
      <c r="G42" s="92"/>
    </row>
    <row r="43" spans="1:8" ht="15" x14ac:dyDescent="0.2">
      <c r="A43" s="78">
        <v>2</v>
      </c>
      <c r="B43" s="21" t="s">
        <v>43</v>
      </c>
      <c r="C43" s="22"/>
      <c r="D43" s="28"/>
      <c r="E43" s="28"/>
      <c r="F43" s="28"/>
      <c r="G43" s="83"/>
      <c r="H43" s="72" t="str">
        <f t="shared" si="0"/>
        <v/>
      </c>
    </row>
    <row r="44" spans="1:8" ht="28.5" customHeight="1" x14ac:dyDescent="0.2">
      <c r="A44" s="79">
        <v>2.1</v>
      </c>
      <c r="B44" s="108" t="s">
        <v>44</v>
      </c>
      <c r="C44" s="109"/>
      <c r="D44" s="19" t="s">
        <v>284</v>
      </c>
      <c r="E44" s="19"/>
      <c r="F44" s="19"/>
      <c r="G44" s="82"/>
      <c r="H44" s="72" t="str">
        <f t="shared" si="0"/>
        <v/>
      </c>
    </row>
    <row r="45" spans="1:8" ht="28.5" customHeight="1" x14ac:dyDescent="0.2">
      <c r="A45" s="79">
        <v>2.2000000000000002</v>
      </c>
      <c r="B45" s="108" t="s">
        <v>45</v>
      </c>
      <c r="C45" s="109"/>
      <c r="D45" s="19" t="s">
        <v>284</v>
      </c>
      <c r="E45" s="19"/>
      <c r="F45" s="19"/>
      <c r="G45" s="82"/>
      <c r="H45" s="72" t="s">
        <v>292</v>
      </c>
    </row>
    <row r="46" spans="1:8" ht="28.5" customHeight="1" x14ac:dyDescent="0.2">
      <c r="A46" s="79">
        <v>2.2999999999999998</v>
      </c>
      <c r="B46" s="108" t="s">
        <v>46</v>
      </c>
      <c r="C46" s="109"/>
      <c r="D46" s="19" t="s">
        <v>284</v>
      </c>
      <c r="E46" s="19"/>
      <c r="F46" s="19"/>
      <c r="G46" s="82"/>
      <c r="H46" s="72" t="str">
        <f t="shared" si="0"/>
        <v/>
      </c>
    </row>
    <row r="47" spans="1:8" ht="28.5" customHeight="1" x14ac:dyDescent="0.2">
      <c r="A47" s="79">
        <v>2.4</v>
      </c>
      <c r="B47" s="108" t="s">
        <v>47</v>
      </c>
      <c r="C47" s="109"/>
      <c r="D47" s="19" t="s">
        <v>284</v>
      </c>
      <c r="E47" s="19"/>
      <c r="F47" s="19"/>
      <c r="G47" s="82"/>
      <c r="H47" s="72" t="str">
        <f t="shared" si="0"/>
        <v/>
      </c>
    </row>
    <row r="48" spans="1:8" ht="28.5" customHeight="1" x14ac:dyDescent="0.2">
      <c r="A48" s="79">
        <v>2.5</v>
      </c>
      <c r="B48" s="108" t="s">
        <v>48</v>
      </c>
      <c r="C48" s="109"/>
      <c r="D48" s="19" t="s">
        <v>284</v>
      </c>
      <c r="E48" s="19"/>
      <c r="F48" s="19"/>
      <c r="G48" s="82"/>
      <c r="H48" s="72" t="str">
        <f t="shared" si="0"/>
        <v/>
      </c>
    </row>
    <row r="49" spans="1:8" ht="15" x14ac:dyDescent="0.2">
      <c r="A49" s="78">
        <v>3</v>
      </c>
      <c r="B49" s="21" t="s">
        <v>49</v>
      </c>
      <c r="C49" s="22"/>
      <c r="D49" s="28"/>
      <c r="E49" s="28"/>
      <c r="F49" s="28"/>
      <c r="G49" s="83"/>
      <c r="H49" s="72" t="str">
        <f t="shared" si="0"/>
        <v/>
      </c>
    </row>
    <row r="50" spans="1:8" ht="28.5" customHeight="1" x14ac:dyDescent="0.2">
      <c r="A50" s="79">
        <v>3.1</v>
      </c>
      <c r="B50" s="108" t="s">
        <v>50</v>
      </c>
      <c r="C50" s="109"/>
      <c r="D50" s="19" t="s">
        <v>284</v>
      </c>
      <c r="E50" s="19"/>
      <c r="F50" s="19"/>
      <c r="G50" s="82"/>
      <c r="H50" s="72" t="str">
        <f t="shared" si="0"/>
        <v/>
      </c>
    </row>
    <row r="51" spans="1:8" ht="28.5" customHeight="1" x14ac:dyDescent="0.2">
      <c r="A51" s="79">
        <v>3.2</v>
      </c>
      <c r="B51" s="108" t="s">
        <v>289</v>
      </c>
      <c r="C51" s="109"/>
      <c r="D51" s="19" t="s">
        <v>284</v>
      </c>
      <c r="E51" s="19"/>
      <c r="F51" s="19"/>
      <c r="G51" s="82"/>
      <c r="H51" s="72" t="str">
        <f t="shared" si="0"/>
        <v/>
      </c>
    </row>
    <row r="52" spans="1:8" ht="28.5" customHeight="1" x14ac:dyDescent="0.2">
      <c r="A52" s="79">
        <v>3.3</v>
      </c>
      <c r="B52" s="108" t="s">
        <v>51</v>
      </c>
      <c r="C52" s="109"/>
      <c r="D52" s="19" t="s">
        <v>284</v>
      </c>
      <c r="E52" s="19"/>
      <c r="F52" s="19"/>
      <c r="G52" s="82"/>
      <c r="H52" s="72" t="str">
        <f t="shared" si="0"/>
        <v/>
      </c>
    </row>
    <row r="53" spans="1:8" ht="28.5" customHeight="1" x14ac:dyDescent="0.2">
      <c r="A53" s="79">
        <v>3.4</v>
      </c>
      <c r="B53" s="108" t="s">
        <v>52</v>
      </c>
      <c r="C53" s="109"/>
      <c r="D53" s="19" t="s">
        <v>284</v>
      </c>
      <c r="E53" s="19"/>
      <c r="F53" s="19"/>
      <c r="G53" s="82"/>
      <c r="H53" s="72" t="str">
        <f t="shared" si="0"/>
        <v/>
      </c>
    </row>
    <row r="54" spans="1:8" ht="28.5" customHeight="1" x14ac:dyDescent="0.2">
      <c r="A54" s="79">
        <v>3.5</v>
      </c>
      <c r="B54" s="108" t="s">
        <v>53</v>
      </c>
      <c r="C54" s="109"/>
      <c r="D54" s="19" t="s">
        <v>284</v>
      </c>
      <c r="E54" s="19"/>
      <c r="F54" s="19"/>
      <c r="G54" s="82"/>
      <c r="H54" s="72" t="str">
        <f t="shared" si="0"/>
        <v/>
      </c>
    </row>
    <row r="55" spans="1:8" ht="28.5" customHeight="1" x14ac:dyDescent="0.2">
      <c r="A55" s="79">
        <v>3.6</v>
      </c>
      <c r="B55" s="108" t="s">
        <v>54</v>
      </c>
      <c r="C55" s="109"/>
      <c r="D55" s="19" t="s">
        <v>284</v>
      </c>
      <c r="E55" s="19"/>
      <c r="F55" s="19"/>
      <c r="G55" s="82" t="s">
        <v>294</v>
      </c>
      <c r="H55" s="72" t="str">
        <f t="shared" si="0"/>
        <v/>
      </c>
    </row>
    <row r="56" spans="1:8" ht="28.5" customHeight="1" x14ac:dyDescent="0.2">
      <c r="A56" s="79">
        <v>3.7</v>
      </c>
      <c r="B56" s="108" t="s">
        <v>55</v>
      </c>
      <c r="C56" s="109"/>
      <c r="D56" s="19" t="s">
        <v>284</v>
      </c>
      <c r="E56" s="19"/>
      <c r="F56" s="19"/>
      <c r="G56" s="82"/>
      <c r="H56" s="72" t="str">
        <f t="shared" si="0"/>
        <v/>
      </c>
    </row>
    <row r="57" spans="1:8" ht="28.5" customHeight="1" x14ac:dyDescent="0.2">
      <c r="A57" s="79">
        <v>3.8</v>
      </c>
      <c r="B57" s="108" t="s">
        <v>56</v>
      </c>
      <c r="C57" s="109"/>
      <c r="D57" s="19" t="s">
        <v>284</v>
      </c>
      <c r="E57" s="19"/>
      <c r="F57" s="19"/>
      <c r="G57" s="82"/>
      <c r="H57" s="72" t="str">
        <f t="shared" si="0"/>
        <v/>
      </c>
    </row>
    <row r="58" spans="1:8" ht="28.5" customHeight="1" x14ac:dyDescent="0.2">
      <c r="A58" s="79">
        <v>3.9</v>
      </c>
      <c r="B58" s="108" t="s">
        <v>57</v>
      </c>
      <c r="C58" s="109"/>
      <c r="D58" s="19" t="s">
        <v>284</v>
      </c>
      <c r="E58" s="19"/>
      <c r="F58" s="19"/>
      <c r="G58" s="82"/>
      <c r="H58" s="72" t="str">
        <f t="shared" si="0"/>
        <v/>
      </c>
    </row>
    <row r="59" spans="1:8" ht="28.5" customHeight="1" x14ac:dyDescent="0.2">
      <c r="A59" s="79" t="s">
        <v>58</v>
      </c>
      <c r="B59" s="108" t="s">
        <v>59</v>
      </c>
      <c r="C59" s="109"/>
      <c r="D59" s="19" t="s">
        <v>284</v>
      </c>
      <c r="E59" s="19"/>
      <c r="F59" s="19"/>
      <c r="G59" s="82"/>
      <c r="H59" s="72" t="str">
        <f t="shared" si="0"/>
        <v/>
      </c>
    </row>
    <row r="60" spans="1:8" ht="28.5" customHeight="1" x14ac:dyDescent="0.2">
      <c r="A60" s="79">
        <v>3.11</v>
      </c>
      <c r="B60" s="108" t="s">
        <v>60</v>
      </c>
      <c r="C60" s="109"/>
      <c r="D60" s="19" t="s">
        <v>284</v>
      </c>
      <c r="E60" s="19"/>
      <c r="F60" s="19"/>
      <c r="G60" s="82" t="s">
        <v>293</v>
      </c>
      <c r="H60" s="72" t="str">
        <f t="shared" si="0"/>
        <v/>
      </c>
    </row>
    <row r="61" spans="1:8" ht="28.5" customHeight="1" x14ac:dyDescent="0.2">
      <c r="A61" s="79">
        <v>3.12</v>
      </c>
      <c r="B61" s="108" t="s">
        <v>61</v>
      </c>
      <c r="C61" s="109"/>
      <c r="D61" s="19" t="s">
        <v>284</v>
      </c>
      <c r="E61" s="19"/>
      <c r="F61" s="19"/>
      <c r="G61" s="82" t="s">
        <v>295</v>
      </c>
      <c r="H61" s="72" t="str">
        <f t="shared" si="0"/>
        <v/>
      </c>
    </row>
    <row r="62" spans="1:8" ht="28.5" customHeight="1" x14ac:dyDescent="0.2">
      <c r="A62" s="79">
        <v>3.13</v>
      </c>
      <c r="B62" s="108" t="s">
        <v>62</v>
      </c>
      <c r="C62" s="109"/>
      <c r="D62" s="19" t="s">
        <v>284</v>
      </c>
      <c r="E62" s="19"/>
      <c r="F62" s="19"/>
      <c r="G62" s="82"/>
      <c r="H62" s="72" t="str">
        <f t="shared" si="0"/>
        <v/>
      </c>
    </row>
    <row r="63" spans="1:8" ht="28.5" customHeight="1" x14ac:dyDescent="0.2">
      <c r="A63" s="79">
        <v>3.14</v>
      </c>
      <c r="B63" s="108" t="s">
        <v>63</v>
      </c>
      <c r="C63" s="109"/>
      <c r="D63" s="19" t="s">
        <v>284</v>
      </c>
      <c r="E63" s="19"/>
      <c r="F63" s="19"/>
      <c r="G63" s="82"/>
      <c r="H63" s="72" t="str">
        <f t="shared" si="0"/>
        <v/>
      </c>
    </row>
    <row r="64" spans="1:8" ht="28.5" customHeight="1" x14ac:dyDescent="0.2">
      <c r="A64" s="79">
        <v>3.15</v>
      </c>
      <c r="B64" s="108" t="s">
        <v>64</v>
      </c>
      <c r="C64" s="109"/>
      <c r="D64" s="19" t="s">
        <v>284</v>
      </c>
      <c r="E64" s="19"/>
      <c r="F64" s="19"/>
      <c r="G64" s="82"/>
      <c r="H64" s="72" t="str">
        <f t="shared" si="0"/>
        <v/>
      </c>
    </row>
    <row r="65" spans="1:8" ht="28.5" customHeight="1" x14ac:dyDescent="0.2">
      <c r="A65" s="79">
        <v>3.16</v>
      </c>
      <c r="B65" s="108" t="s">
        <v>65</v>
      </c>
      <c r="C65" s="109"/>
      <c r="D65" s="19" t="s">
        <v>284</v>
      </c>
      <c r="E65" s="19"/>
      <c r="F65" s="19"/>
      <c r="G65" s="82"/>
      <c r="H65" s="72" t="str">
        <f t="shared" si="0"/>
        <v/>
      </c>
    </row>
    <row r="66" spans="1:8" ht="28.5" customHeight="1" x14ac:dyDescent="0.2">
      <c r="A66" s="79">
        <v>3.17</v>
      </c>
      <c r="B66" s="108" t="s">
        <v>66</v>
      </c>
      <c r="C66" s="109"/>
      <c r="D66" s="19" t="s">
        <v>284</v>
      </c>
      <c r="E66" s="19"/>
      <c r="F66" s="19"/>
      <c r="G66" s="82"/>
      <c r="H66" s="72" t="str">
        <f t="shared" si="0"/>
        <v/>
      </c>
    </row>
    <row r="67" spans="1:8" ht="28.5" customHeight="1" x14ac:dyDescent="0.2">
      <c r="A67" s="79">
        <v>3.18</v>
      </c>
      <c r="B67" s="108" t="s">
        <v>67</v>
      </c>
      <c r="C67" s="109"/>
      <c r="D67" s="19" t="s">
        <v>284</v>
      </c>
      <c r="E67" s="19"/>
      <c r="F67" s="19"/>
      <c r="G67" s="82"/>
      <c r="H67" s="72" t="str">
        <f t="shared" si="0"/>
        <v/>
      </c>
    </row>
    <row r="68" spans="1:8" ht="28.5" customHeight="1" x14ac:dyDescent="0.2">
      <c r="A68" s="79">
        <v>3.19</v>
      </c>
      <c r="B68" s="108" t="s">
        <v>290</v>
      </c>
      <c r="C68" s="109"/>
      <c r="D68" s="19" t="s">
        <v>284</v>
      </c>
      <c r="E68" s="19"/>
      <c r="F68" s="19"/>
      <c r="G68" s="82" t="s">
        <v>297</v>
      </c>
      <c r="H68" s="72" t="str">
        <f t="shared" si="0"/>
        <v/>
      </c>
    </row>
    <row r="69" spans="1:8" ht="28.5" customHeight="1" x14ac:dyDescent="0.2">
      <c r="A69" s="79" t="s">
        <v>68</v>
      </c>
      <c r="B69" s="108" t="s">
        <v>69</v>
      </c>
      <c r="C69" s="109"/>
      <c r="D69" s="19" t="s">
        <v>284</v>
      </c>
      <c r="E69" s="19"/>
      <c r="F69" s="19"/>
      <c r="G69" s="82"/>
      <c r="H69" s="72" t="str">
        <f t="shared" si="0"/>
        <v/>
      </c>
    </row>
    <row r="70" spans="1:8" ht="28.5" customHeight="1" x14ac:dyDescent="0.2">
      <c r="A70" s="79">
        <v>3.21</v>
      </c>
      <c r="B70" s="108" t="s">
        <v>70</v>
      </c>
      <c r="C70" s="109"/>
      <c r="D70" s="19"/>
      <c r="E70" s="19"/>
      <c r="F70" s="19" t="s">
        <v>284</v>
      </c>
      <c r="G70" s="82"/>
      <c r="H70" s="72" t="str">
        <f t="shared" si="0"/>
        <v/>
      </c>
    </row>
    <row r="71" spans="1:8" ht="28.5" customHeight="1" x14ac:dyDescent="0.2">
      <c r="A71" s="79">
        <v>3.22</v>
      </c>
      <c r="B71" s="108" t="s">
        <v>71</v>
      </c>
      <c r="C71" s="109"/>
      <c r="D71" s="19"/>
      <c r="E71" s="19"/>
      <c r="F71" s="19" t="s">
        <v>284</v>
      </c>
      <c r="G71" s="82"/>
      <c r="H71" s="72" t="str">
        <f t="shared" si="0"/>
        <v/>
      </c>
    </row>
    <row r="72" spans="1:8" ht="28.5" customHeight="1" x14ac:dyDescent="0.2">
      <c r="A72" s="79">
        <v>3.23</v>
      </c>
      <c r="B72" s="108" t="s">
        <v>72</v>
      </c>
      <c r="C72" s="109"/>
      <c r="D72" s="19"/>
      <c r="E72" s="19"/>
      <c r="F72" s="19" t="s">
        <v>284</v>
      </c>
      <c r="G72" s="82"/>
      <c r="H72" s="72" t="str">
        <f t="shared" si="0"/>
        <v/>
      </c>
    </row>
    <row r="73" spans="1:8" ht="28.5" customHeight="1" x14ac:dyDescent="0.2">
      <c r="A73" s="79">
        <v>3.24</v>
      </c>
      <c r="B73" s="108" t="s">
        <v>73</v>
      </c>
      <c r="C73" s="109"/>
      <c r="D73" s="19" t="s">
        <v>284</v>
      </c>
      <c r="E73" s="19"/>
      <c r="F73" s="19"/>
      <c r="G73" s="82"/>
      <c r="H73" s="72" t="str">
        <f t="shared" si="0"/>
        <v/>
      </c>
    </row>
    <row r="74" spans="1:8" ht="15" x14ac:dyDescent="0.2">
      <c r="A74" s="80">
        <v>4</v>
      </c>
      <c r="B74" s="21" t="s">
        <v>74</v>
      </c>
      <c r="C74" s="22"/>
      <c r="D74" s="28"/>
      <c r="E74" s="28"/>
      <c r="F74" s="28"/>
      <c r="G74" s="83"/>
      <c r="H74" s="72" t="str">
        <f t="shared" si="0"/>
        <v/>
      </c>
    </row>
    <row r="75" spans="1:8" ht="28.5" customHeight="1" x14ac:dyDescent="0.2">
      <c r="A75" s="79">
        <v>4.0999999999999996</v>
      </c>
      <c r="B75" s="108" t="s">
        <v>228</v>
      </c>
      <c r="C75" s="109"/>
      <c r="D75" s="19" t="s">
        <v>284</v>
      </c>
      <c r="E75" s="19"/>
      <c r="F75" s="19"/>
      <c r="G75" s="82"/>
      <c r="H75" s="72" t="str">
        <f t="shared" si="0"/>
        <v/>
      </c>
    </row>
    <row r="76" spans="1:8" ht="28.5" customHeight="1" x14ac:dyDescent="0.2">
      <c r="A76" s="79">
        <v>4.2</v>
      </c>
      <c r="B76" s="108" t="s">
        <v>75</v>
      </c>
      <c r="C76" s="109"/>
      <c r="D76" s="19" t="s">
        <v>284</v>
      </c>
      <c r="E76" s="19"/>
      <c r="F76" s="19"/>
      <c r="G76" s="82"/>
      <c r="H76" s="72" t="str">
        <f t="shared" si="0"/>
        <v/>
      </c>
    </row>
    <row r="77" spans="1:8" ht="28.5" customHeight="1" x14ac:dyDescent="0.2">
      <c r="A77" s="79">
        <v>4.3</v>
      </c>
      <c r="B77" s="108" t="s">
        <v>76</v>
      </c>
      <c r="C77" s="109"/>
      <c r="D77" s="19" t="s">
        <v>284</v>
      </c>
      <c r="E77" s="19"/>
      <c r="F77" s="19"/>
      <c r="G77" s="82"/>
      <c r="H77" s="72" t="str">
        <f t="shared" si="0"/>
        <v/>
      </c>
    </row>
    <row r="78" spans="1:8" ht="28.5" customHeight="1" x14ac:dyDescent="0.2">
      <c r="A78" s="79">
        <v>4.4000000000000004</v>
      </c>
      <c r="B78" s="108" t="s">
        <v>77</v>
      </c>
      <c r="C78" s="109"/>
      <c r="D78" s="19" t="s">
        <v>284</v>
      </c>
      <c r="E78" s="19"/>
      <c r="F78" s="19"/>
      <c r="G78" s="82" t="s">
        <v>296</v>
      </c>
      <c r="H78" s="72" t="str">
        <f>IF(AND(E78="X",G78=""),"&lt;&lt;&lt; Escreva uma justificativa para esta Não Conformidade!","")</f>
        <v/>
      </c>
    </row>
    <row r="79" spans="1:8" ht="28.5" customHeight="1" x14ac:dyDescent="0.2">
      <c r="A79" s="79">
        <v>4.8</v>
      </c>
      <c r="B79" s="108" t="s">
        <v>78</v>
      </c>
      <c r="C79" s="109"/>
      <c r="D79" s="19" t="s">
        <v>284</v>
      </c>
      <c r="E79" s="19"/>
      <c r="F79" s="19"/>
      <c r="G79" s="82"/>
      <c r="H79" s="72" t="str">
        <f>IF(AND(E79="X",G79=""),"&lt;&lt;&lt; Escreva uma justificativa para esta Não Conformidade!","")</f>
        <v/>
      </c>
    </row>
    <row r="80" spans="1:8" ht="28.5" customHeight="1" x14ac:dyDescent="0.2">
      <c r="A80" s="79">
        <v>4.9000000000000004</v>
      </c>
      <c r="B80" s="108" t="s">
        <v>79</v>
      </c>
      <c r="C80" s="109"/>
      <c r="D80" s="19"/>
      <c r="E80" s="19" t="s">
        <v>284</v>
      </c>
      <c r="F80" s="19"/>
      <c r="G80" s="82" t="s">
        <v>298</v>
      </c>
      <c r="H80" s="72" t="str">
        <f t="shared" si="0"/>
        <v/>
      </c>
    </row>
    <row r="81" spans="1:8" ht="28.5" customHeight="1" x14ac:dyDescent="0.2">
      <c r="A81" s="79" t="s">
        <v>80</v>
      </c>
      <c r="B81" s="108" t="s">
        <v>81</v>
      </c>
      <c r="C81" s="109"/>
      <c r="D81" s="19" t="s">
        <v>284</v>
      </c>
      <c r="E81" s="19"/>
      <c r="F81" s="19"/>
      <c r="G81" s="82"/>
      <c r="H81" s="72" t="str">
        <f t="shared" si="0"/>
        <v/>
      </c>
    </row>
    <row r="82" spans="1:8" ht="28.5" customHeight="1" x14ac:dyDescent="0.2">
      <c r="A82" s="79">
        <v>4.1100000000000003</v>
      </c>
      <c r="B82" s="108" t="s">
        <v>82</v>
      </c>
      <c r="C82" s="109"/>
      <c r="D82" s="19" t="s">
        <v>284</v>
      </c>
      <c r="E82" s="19"/>
      <c r="F82" s="19"/>
      <c r="G82" s="82"/>
      <c r="H82" s="72" t="str">
        <f t="shared" si="0"/>
        <v/>
      </c>
    </row>
    <row r="83" spans="1:8" ht="28.5" customHeight="1" x14ac:dyDescent="0.2">
      <c r="A83" s="79">
        <v>4.12</v>
      </c>
      <c r="B83" s="108" t="s">
        <v>83</v>
      </c>
      <c r="C83" s="109"/>
      <c r="D83" s="19" t="s">
        <v>284</v>
      </c>
      <c r="E83" s="19"/>
      <c r="F83" s="19"/>
      <c r="G83" s="82"/>
    </row>
    <row r="84" spans="1:8" ht="28.5" customHeight="1" x14ac:dyDescent="0.2">
      <c r="A84" s="79">
        <v>4.13</v>
      </c>
      <c r="B84" s="108" t="s">
        <v>84</v>
      </c>
      <c r="C84" s="109"/>
      <c r="D84" s="19" t="s">
        <v>284</v>
      </c>
      <c r="E84" s="19"/>
      <c r="F84" s="19"/>
      <c r="G84" s="82"/>
    </row>
    <row r="85" spans="1:8" ht="28.5" customHeight="1" x14ac:dyDescent="0.2">
      <c r="A85" s="79">
        <v>4.1399999999999997</v>
      </c>
      <c r="B85" s="108" t="s">
        <v>85</v>
      </c>
      <c r="C85" s="109"/>
      <c r="D85" s="19" t="s">
        <v>284</v>
      </c>
      <c r="E85" s="19"/>
      <c r="F85" s="19"/>
      <c r="G85" s="82"/>
    </row>
    <row r="86" spans="1:8" ht="15" x14ac:dyDescent="0.2">
      <c r="A86" s="80">
        <v>5</v>
      </c>
      <c r="B86" s="21" t="s">
        <v>86</v>
      </c>
      <c r="C86" s="22"/>
      <c r="D86" s="28"/>
      <c r="E86" s="28"/>
      <c r="F86" s="28"/>
      <c r="G86" s="83"/>
      <c r="H86" s="72" t="str">
        <f t="shared" si="0"/>
        <v/>
      </c>
    </row>
    <row r="87" spans="1:8" ht="28.5" customHeight="1" x14ac:dyDescent="0.2">
      <c r="A87" s="79">
        <v>5.0999999999999996</v>
      </c>
      <c r="B87" s="108" t="s">
        <v>87</v>
      </c>
      <c r="C87" s="109"/>
      <c r="D87" s="19" t="s">
        <v>284</v>
      </c>
      <c r="E87" s="19"/>
      <c r="F87" s="19"/>
      <c r="G87" s="82"/>
      <c r="H87" s="72" t="str">
        <f t="shared" si="0"/>
        <v/>
      </c>
    </row>
    <row r="88" spans="1:8" ht="28.5" customHeight="1" x14ac:dyDescent="0.2">
      <c r="A88" s="79">
        <v>5.2</v>
      </c>
      <c r="B88" s="108" t="s">
        <v>88</v>
      </c>
      <c r="C88" s="109"/>
      <c r="D88" s="19" t="s">
        <v>284</v>
      </c>
      <c r="E88" s="19"/>
      <c r="F88" s="19"/>
      <c r="G88" s="82"/>
      <c r="H88" s="72" t="str">
        <f t="shared" ref="H88:H120" si="1">IF(AND(E88="X",G88=""),"&lt;&lt;&lt; Escreva uma justificativa para esta Não Conformidade!","")</f>
        <v/>
      </c>
    </row>
    <row r="89" spans="1:8" ht="28.5" customHeight="1" x14ac:dyDescent="0.2">
      <c r="A89" s="79">
        <v>5.3</v>
      </c>
      <c r="B89" s="108" t="s">
        <v>89</v>
      </c>
      <c r="C89" s="109"/>
      <c r="D89" s="19" t="s">
        <v>284</v>
      </c>
      <c r="E89" s="19"/>
      <c r="F89" s="19"/>
      <c r="G89" s="82"/>
      <c r="H89" s="72" t="str">
        <f t="shared" si="1"/>
        <v/>
      </c>
    </row>
    <row r="90" spans="1:8" ht="28.5" customHeight="1" x14ac:dyDescent="0.2">
      <c r="A90" s="79">
        <v>5.4</v>
      </c>
      <c r="B90" s="108" t="s">
        <v>90</v>
      </c>
      <c r="C90" s="109"/>
      <c r="D90" s="19" t="s">
        <v>284</v>
      </c>
      <c r="E90" s="19"/>
      <c r="F90" s="19"/>
      <c r="G90" s="82"/>
      <c r="H90" s="72" t="str">
        <f t="shared" si="1"/>
        <v/>
      </c>
    </row>
    <row r="91" spans="1:8" ht="28.5" customHeight="1" x14ac:dyDescent="0.2">
      <c r="A91" s="79">
        <v>5.5</v>
      </c>
      <c r="B91" s="108" t="s">
        <v>91</v>
      </c>
      <c r="C91" s="109"/>
      <c r="D91" s="19" t="s">
        <v>284</v>
      </c>
      <c r="E91" s="19"/>
      <c r="F91" s="19"/>
      <c r="G91" s="82"/>
      <c r="H91" s="72" t="str">
        <f t="shared" si="1"/>
        <v/>
      </c>
    </row>
    <row r="92" spans="1:8" ht="28.5" customHeight="1" x14ac:dyDescent="0.2">
      <c r="A92" s="79">
        <v>5.6</v>
      </c>
      <c r="B92" s="108" t="s">
        <v>92</v>
      </c>
      <c r="C92" s="109"/>
      <c r="D92" s="19" t="s">
        <v>284</v>
      </c>
      <c r="E92" s="19"/>
      <c r="F92" s="19"/>
      <c r="G92" s="82"/>
      <c r="H92" s="72" t="str">
        <f t="shared" si="1"/>
        <v/>
      </c>
    </row>
    <row r="93" spans="1:8" ht="15" x14ac:dyDescent="0.2">
      <c r="A93" s="80">
        <v>6</v>
      </c>
      <c r="B93" s="21" t="s">
        <v>93</v>
      </c>
      <c r="C93" s="22"/>
      <c r="D93" s="28"/>
      <c r="E93" s="28"/>
      <c r="F93" s="28"/>
      <c r="G93" s="83"/>
      <c r="H93" s="72" t="str">
        <f t="shared" si="1"/>
        <v/>
      </c>
    </row>
    <row r="94" spans="1:8" ht="28.5" customHeight="1" x14ac:dyDescent="0.2">
      <c r="A94" s="79">
        <v>6.1</v>
      </c>
      <c r="B94" s="108" t="s">
        <v>94</v>
      </c>
      <c r="C94" s="109"/>
      <c r="D94" s="19" t="s">
        <v>284</v>
      </c>
      <c r="E94" s="19"/>
      <c r="F94" s="19"/>
      <c r="G94" s="82"/>
      <c r="H94" s="72" t="str">
        <f t="shared" si="1"/>
        <v/>
      </c>
    </row>
    <row r="95" spans="1:8" ht="28.5" customHeight="1" x14ac:dyDescent="0.2">
      <c r="A95" s="79">
        <v>6.2</v>
      </c>
      <c r="B95" s="108" t="s">
        <v>95</v>
      </c>
      <c r="C95" s="109"/>
      <c r="D95" s="19" t="s">
        <v>284</v>
      </c>
      <c r="E95" s="19"/>
      <c r="F95" s="19"/>
      <c r="G95" s="82"/>
      <c r="H95" s="72" t="str">
        <f t="shared" si="1"/>
        <v/>
      </c>
    </row>
    <row r="96" spans="1:8" ht="28.5" customHeight="1" x14ac:dyDescent="0.2">
      <c r="A96" s="79">
        <v>6.3</v>
      </c>
      <c r="B96" s="108" t="s">
        <v>96</v>
      </c>
      <c r="C96" s="109"/>
      <c r="D96" s="19" t="s">
        <v>284</v>
      </c>
      <c r="E96" s="19"/>
      <c r="F96" s="19"/>
      <c r="G96" s="82"/>
      <c r="H96" s="72" t="str">
        <f t="shared" si="1"/>
        <v/>
      </c>
    </row>
    <row r="97" spans="1:8" ht="28.5" customHeight="1" x14ac:dyDescent="0.2">
      <c r="A97" s="79">
        <v>6.4</v>
      </c>
      <c r="B97" s="108" t="s">
        <v>97</v>
      </c>
      <c r="C97" s="109"/>
      <c r="D97" s="19" t="s">
        <v>284</v>
      </c>
      <c r="E97" s="19"/>
      <c r="F97" s="19"/>
      <c r="G97" s="82"/>
      <c r="H97" s="72" t="str">
        <f t="shared" si="1"/>
        <v/>
      </c>
    </row>
    <row r="98" spans="1:8" ht="28.5" customHeight="1" x14ac:dyDescent="0.2">
      <c r="A98" s="79">
        <v>6.5</v>
      </c>
      <c r="B98" s="108" t="s">
        <v>98</v>
      </c>
      <c r="C98" s="109"/>
      <c r="D98" s="19" t="s">
        <v>284</v>
      </c>
      <c r="E98" s="19"/>
      <c r="F98" s="19"/>
      <c r="G98" s="82"/>
      <c r="H98" s="72" t="str">
        <f t="shared" si="1"/>
        <v/>
      </c>
    </row>
    <row r="99" spans="1:8" ht="28.5" customHeight="1" x14ac:dyDescent="0.2">
      <c r="A99" s="79">
        <v>6.6</v>
      </c>
      <c r="B99" s="108" t="s">
        <v>99</v>
      </c>
      <c r="C99" s="109"/>
      <c r="D99" s="19" t="s">
        <v>284</v>
      </c>
      <c r="E99" s="19"/>
      <c r="F99" s="19"/>
      <c r="G99" s="82"/>
      <c r="H99" s="72" t="str">
        <f t="shared" si="1"/>
        <v/>
      </c>
    </row>
    <row r="100" spans="1:8" ht="28.5" customHeight="1" x14ac:dyDescent="0.2">
      <c r="A100" s="79">
        <v>6.7</v>
      </c>
      <c r="B100" s="108" t="s">
        <v>100</v>
      </c>
      <c r="C100" s="109"/>
      <c r="D100" s="19" t="s">
        <v>284</v>
      </c>
      <c r="E100" s="19"/>
      <c r="F100" s="19"/>
      <c r="G100" s="82"/>
      <c r="H100" s="72" t="str">
        <f t="shared" si="1"/>
        <v/>
      </c>
    </row>
    <row r="101" spans="1:8" ht="28.5" customHeight="1" x14ac:dyDescent="0.2">
      <c r="A101" s="79">
        <v>6.8</v>
      </c>
      <c r="B101" s="108" t="s">
        <v>101</v>
      </c>
      <c r="C101" s="109"/>
      <c r="D101" s="19" t="s">
        <v>284</v>
      </c>
      <c r="E101" s="19"/>
      <c r="F101" s="19"/>
      <c r="G101" s="82"/>
      <c r="H101" s="72" t="str">
        <f t="shared" si="1"/>
        <v/>
      </c>
    </row>
    <row r="102" spans="1:8" ht="28.5" customHeight="1" x14ac:dyDescent="0.2">
      <c r="A102" s="79">
        <v>6.9</v>
      </c>
      <c r="B102" s="108" t="s">
        <v>102</v>
      </c>
      <c r="C102" s="109"/>
      <c r="D102" s="19" t="s">
        <v>284</v>
      </c>
      <c r="E102" s="19"/>
      <c r="F102" s="19"/>
      <c r="G102" s="82"/>
      <c r="H102" s="72" t="str">
        <f t="shared" si="1"/>
        <v/>
      </c>
    </row>
    <row r="103" spans="1:8" ht="15" x14ac:dyDescent="0.2">
      <c r="A103" s="80">
        <v>7</v>
      </c>
      <c r="B103" s="21" t="s">
        <v>103</v>
      </c>
      <c r="C103" s="22"/>
      <c r="D103" s="28"/>
      <c r="E103" s="28"/>
      <c r="F103" s="28"/>
      <c r="G103" s="83"/>
      <c r="H103" s="72" t="str">
        <f t="shared" si="1"/>
        <v/>
      </c>
    </row>
    <row r="104" spans="1:8" ht="28.5" customHeight="1" x14ac:dyDescent="0.2">
      <c r="A104" s="79">
        <v>7.1</v>
      </c>
      <c r="B104" s="108" t="s">
        <v>104</v>
      </c>
      <c r="C104" s="109"/>
      <c r="D104" s="19" t="s">
        <v>284</v>
      </c>
      <c r="E104" s="19"/>
      <c r="F104" s="19"/>
      <c r="G104" s="82"/>
      <c r="H104" s="72" t="str">
        <f t="shared" si="1"/>
        <v/>
      </c>
    </row>
    <row r="105" spans="1:8" ht="28.5" customHeight="1" x14ac:dyDescent="0.2">
      <c r="A105" s="79">
        <v>7.2</v>
      </c>
      <c r="B105" s="108" t="s">
        <v>105</v>
      </c>
      <c r="C105" s="109"/>
      <c r="D105" s="19" t="s">
        <v>284</v>
      </c>
      <c r="E105" s="19"/>
      <c r="F105" s="19"/>
      <c r="G105" s="82"/>
      <c r="H105" s="72" t="str">
        <f t="shared" si="1"/>
        <v/>
      </c>
    </row>
    <row r="106" spans="1:8" ht="28.5" customHeight="1" x14ac:dyDescent="0.2">
      <c r="A106" s="79">
        <v>7.3</v>
      </c>
      <c r="B106" s="108" t="s">
        <v>106</v>
      </c>
      <c r="C106" s="109"/>
      <c r="D106" s="19" t="s">
        <v>284</v>
      </c>
      <c r="E106" s="19"/>
      <c r="F106" s="19"/>
      <c r="G106" s="82"/>
      <c r="H106" s="72" t="str">
        <f t="shared" si="1"/>
        <v/>
      </c>
    </row>
    <row r="107" spans="1:8" ht="28.5" customHeight="1" x14ac:dyDescent="0.2">
      <c r="A107" s="79">
        <v>7.4</v>
      </c>
      <c r="B107" s="108" t="s">
        <v>107</v>
      </c>
      <c r="C107" s="109"/>
      <c r="D107" s="19" t="s">
        <v>284</v>
      </c>
      <c r="E107" s="19"/>
      <c r="F107" s="19"/>
      <c r="G107" s="82"/>
      <c r="H107" s="72" t="str">
        <f t="shared" si="1"/>
        <v/>
      </c>
    </row>
    <row r="108" spans="1:8" ht="28.5" customHeight="1" x14ac:dyDescent="0.2">
      <c r="A108" s="79">
        <v>7.5</v>
      </c>
      <c r="B108" s="108" t="s">
        <v>108</v>
      </c>
      <c r="C108" s="109"/>
      <c r="D108" s="19" t="s">
        <v>284</v>
      </c>
      <c r="E108" s="19"/>
      <c r="F108" s="19"/>
      <c r="G108" s="82"/>
      <c r="H108" s="72" t="str">
        <f t="shared" si="1"/>
        <v/>
      </c>
    </row>
    <row r="109" spans="1:8" ht="28.5" customHeight="1" x14ac:dyDescent="0.2">
      <c r="A109" s="79">
        <v>7.6</v>
      </c>
      <c r="B109" s="108" t="s">
        <v>109</v>
      </c>
      <c r="C109" s="109"/>
      <c r="D109" s="19" t="s">
        <v>284</v>
      </c>
      <c r="E109" s="19"/>
      <c r="F109" s="19"/>
      <c r="G109" s="82"/>
      <c r="H109" s="72" t="str">
        <f t="shared" si="1"/>
        <v/>
      </c>
    </row>
    <row r="110" spans="1:8" ht="28.5" customHeight="1" x14ac:dyDescent="0.2">
      <c r="A110" s="79">
        <v>7.7</v>
      </c>
      <c r="B110" s="108" t="s">
        <v>110</v>
      </c>
      <c r="C110" s="109"/>
      <c r="D110" s="19" t="s">
        <v>284</v>
      </c>
      <c r="E110" s="19"/>
      <c r="F110" s="19"/>
      <c r="G110" s="82"/>
      <c r="H110" s="72" t="str">
        <f t="shared" si="1"/>
        <v/>
      </c>
    </row>
    <row r="111" spans="1:8" ht="28.5" customHeight="1" x14ac:dyDescent="0.2">
      <c r="A111" s="79">
        <v>7.8</v>
      </c>
      <c r="B111" s="108" t="s">
        <v>111</v>
      </c>
      <c r="C111" s="109"/>
      <c r="D111" s="19" t="s">
        <v>284</v>
      </c>
      <c r="E111" s="19"/>
      <c r="F111" s="19"/>
      <c r="G111" s="82"/>
      <c r="H111" s="72" t="str">
        <f t="shared" si="1"/>
        <v/>
      </c>
    </row>
    <row r="112" spans="1:8" ht="15" x14ac:dyDescent="0.2">
      <c r="A112" s="80">
        <v>8</v>
      </c>
      <c r="B112" s="21" t="s">
        <v>112</v>
      </c>
      <c r="C112" s="22"/>
      <c r="D112" s="28"/>
      <c r="E112" s="28"/>
      <c r="F112" s="28"/>
      <c r="G112" s="83"/>
      <c r="H112" s="72" t="str">
        <f t="shared" si="1"/>
        <v/>
      </c>
    </row>
    <row r="113" spans="1:8" ht="36.950000000000003" customHeight="1" x14ac:dyDescent="0.2">
      <c r="A113" s="79">
        <v>8.1</v>
      </c>
      <c r="B113" s="108" t="s">
        <v>113</v>
      </c>
      <c r="C113" s="109"/>
      <c r="D113" s="19" t="s">
        <v>284</v>
      </c>
      <c r="E113" s="19"/>
      <c r="F113" s="19"/>
      <c r="G113" s="82"/>
      <c r="H113" s="72" t="str">
        <f t="shared" si="1"/>
        <v/>
      </c>
    </row>
    <row r="114" spans="1:8" ht="28.5" customHeight="1" x14ac:dyDescent="0.2">
      <c r="A114" s="79">
        <v>8.1999999999999993</v>
      </c>
      <c r="B114" s="108" t="s">
        <v>114</v>
      </c>
      <c r="C114" s="109"/>
      <c r="D114" s="19" t="s">
        <v>284</v>
      </c>
      <c r="E114" s="19"/>
      <c r="F114" s="19"/>
      <c r="G114" s="82"/>
      <c r="H114" s="72" t="str">
        <f t="shared" si="1"/>
        <v/>
      </c>
    </row>
    <row r="115" spans="1:8" ht="28.5" customHeight="1" x14ac:dyDescent="0.2">
      <c r="A115" s="79">
        <v>8.3000000000000007</v>
      </c>
      <c r="B115" s="108" t="s">
        <v>115</v>
      </c>
      <c r="C115" s="109"/>
      <c r="D115" s="19" t="s">
        <v>284</v>
      </c>
      <c r="E115" s="19"/>
      <c r="F115" s="19"/>
      <c r="G115" s="82"/>
      <c r="H115" s="72" t="str">
        <f t="shared" si="1"/>
        <v/>
      </c>
    </row>
    <row r="116" spans="1:8" ht="28.5" customHeight="1" x14ac:dyDescent="0.2">
      <c r="A116" s="79">
        <v>8.4</v>
      </c>
      <c r="B116" s="108" t="s">
        <v>116</v>
      </c>
      <c r="C116" s="109"/>
      <c r="D116" s="19" t="s">
        <v>284</v>
      </c>
      <c r="E116" s="19"/>
      <c r="F116" s="19"/>
      <c r="G116" s="93"/>
      <c r="H116" s="72" t="str">
        <f t="shared" si="1"/>
        <v/>
      </c>
    </row>
    <row r="117" spans="1:8" ht="28.5" customHeight="1" x14ac:dyDescent="0.2">
      <c r="A117" s="79">
        <v>8.5</v>
      </c>
      <c r="B117" s="108" t="s">
        <v>117</v>
      </c>
      <c r="C117" s="109"/>
      <c r="D117" s="19" t="s">
        <v>284</v>
      </c>
      <c r="E117" s="19"/>
      <c r="F117" s="19"/>
      <c r="G117" s="94"/>
      <c r="H117" s="72" t="str">
        <f t="shared" si="1"/>
        <v/>
      </c>
    </row>
    <row r="118" spans="1:8" ht="28.5" customHeight="1" x14ac:dyDescent="0.2">
      <c r="A118" s="79">
        <v>8.6</v>
      </c>
      <c r="B118" s="108" t="s">
        <v>118</v>
      </c>
      <c r="C118" s="109"/>
      <c r="D118" s="19" t="s">
        <v>284</v>
      </c>
      <c r="E118" s="19"/>
      <c r="F118" s="19"/>
      <c r="G118" s="82"/>
      <c r="H118" s="72" t="str">
        <f t="shared" si="1"/>
        <v/>
      </c>
    </row>
    <row r="119" spans="1:8" ht="28.5" customHeight="1" x14ac:dyDescent="0.2">
      <c r="A119" s="79">
        <v>8.6999999999999993</v>
      </c>
      <c r="B119" s="108" t="s">
        <v>119</v>
      </c>
      <c r="C119" s="109"/>
      <c r="D119" s="19" t="s">
        <v>284</v>
      </c>
      <c r="E119" s="19"/>
      <c r="F119" s="19"/>
      <c r="G119" s="82"/>
      <c r="H119" s="72" t="str">
        <f t="shared" si="1"/>
        <v/>
      </c>
    </row>
    <row r="120" spans="1:8" ht="28.5" customHeight="1" x14ac:dyDescent="0.2">
      <c r="A120" s="79">
        <v>8.8000000000000007</v>
      </c>
      <c r="B120" s="108" t="s">
        <v>120</v>
      </c>
      <c r="C120" s="109"/>
      <c r="D120" s="19" t="s">
        <v>284</v>
      </c>
      <c r="E120" s="19"/>
      <c r="F120" s="19"/>
      <c r="G120" s="82"/>
      <c r="H120" s="72" t="str">
        <f t="shared" si="1"/>
        <v/>
      </c>
    </row>
    <row r="121" spans="1:8" ht="28.5" customHeight="1" x14ac:dyDescent="0.2">
      <c r="A121" s="79">
        <v>8.9</v>
      </c>
      <c r="B121" s="108" t="s">
        <v>121</v>
      </c>
      <c r="C121" s="109"/>
      <c r="D121" s="19" t="s">
        <v>284</v>
      </c>
      <c r="E121" s="19"/>
      <c r="F121" s="19"/>
      <c r="G121" s="82"/>
      <c r="H121" s="72" t="str">
        <f t="shared" ref="H121:H122" si="2">IF(AND(E121="X",G121=""),"&lt;&lt;&lt; Escreva uma justificativa para esta Não Conformidade!","")</f>
        <v/>
      </c>
    </row>
    <row r="122" spans="1:8" ht="28.5" customHeight="1" x14ac:dyDescent="0.2">
      <c r="A122" s="79" t="s">
        <v>250</v>
      </c>
      <c r="B122" s="108" t="s">
        <v>272</v>
      </c>
      <c r="C122" s="109"/>
      <c r="D122" s="19" t="s">
        <v>284</v>
      </c>
      <c r="E122" s="19"/>
      <c r="F122" s="19"/>
      <c r="G122" s="92"/>
      <c r="H122" s="72" t="str">
        <f t="shared" si="2"/>
        <v/>
      </c>
    </row>
    <row r="123" spans="1:8" ht="28.5" customHeight="1" x14ac:dyDescent="0.2">
      <c r="A123" s="79" t="s">
        <v>251</v>
      </c>
      <c r="B123" s="108" t="s">
        <v>273</v>
      </c>
      <c r="C123" s="109"/>
      <c r="D123" s="19" t="s">
        <v>284</v>
      </c>
      <c r="E123" s="19"/>
      <c r="F123" s="19"/>
      <c r="G123" s="92"/>
    </row>
    <row r="124" spans="1:8" ht="28.5" customHeight="1" x14ac:dyDescent="0.2">
      <c r="A124" s="79" t="s">
        <v>275</v>
      </c>
      <c r="B124" s="108" t="s">
        <v>274</v>
      </c>
      <c r="C124" s="109"/>
      <c r="D124" s="19" t="s">
        <v>284</v>
      </c>
      <c r="E124" s="19"/>
      <c r="F124" s="19"/>
      <c r="G124" s="92"/>
    </row>
    <row r="125" spans="1:8" ht="28.5" customHeight="1" x14ac:dyDescent="0.2">
      <c r="A125" s="79" t="s">
        <v>270</v>
      </c>
      <c r="B125" s="108" t="s">
        <v>252</v>
      </c>
      <c r="C125" s="109"/>
      <c r="D125" s="19" t="s">
        <v>284</v>
      </c>
      <c r="E125" s="19"/>
      <c r="F125" s="19"/>
      <c r="G125" s="92"/>
    </row>
    <row r="126" spans="1:8" ht="28.5" customHeight="1" x14ac:dyDescent="0.2">
      <c r="A126" s="79" t="s">
        <v>271</v>
      </c>
      <c r="B126" s="108" t="s">
        <v>253</v>
      </c>
      <c r="C126" s="109"/>
      <c r="D126" s="19" t="s">
        <v>284</v>
      </c>
      <c r="E126" s="19"/>
      <c r="F126" s="19"/>
      <c r="H126" s="72" t="str">
        <f>IF(AND(E126="X",G127=""),"&lt;&lt;&lt; Escreva uma justificativa para esta Não Conformidade!","")</f>
        <v/>
      </c>
    </row>
    <row r="127" spans="1:8" x14ac:dyDescent="0.2">
      <c r="G127" s="92"/>
    </row>
    <row r="128" spans="1:8" x14ac:dyDescent="0.2">
      <c r="C128" s="130">
        <f>G5</f>
        <v>45017</v>
      </c>
      <c r="D128" s="130"/>
      <c r="E128" s="130"/>
      <c r="F128" s="131"/>
      <c r="G128" s="128">
        <f>Calc!G111</f>
        <v>0.98095238095237969</v>
      </c>
    </row>
    <row r="129" spans="3:7" x14ac:dyDescent="0.2">
      <c r="C129" s="130"/>
      <c r="D129" s="130"/>
      <c r="E129" s="130"/>
      <c r="F129" s="131"/>
      <c r="G129" s="129"/>
    </row>
    <row r="130" spans="3:7" ht="23.25" x14ac:dyDescent="0.2">
      <c r="G130" s="31" t="str">
        <f>IF(G128&lt;References!E1,References!C1,IF(AND('HSE Checklist'!G128&gt;=References!A2,'HSE Checklist'!G128&lt;References!E2),References!C2,IF(AND('HSE Checklist'!G128&gt;=References!A3,'HSE Checklist'!G128&lt;References!E3),References!C3,References!C4)))</f>
        <v>EXCELENTE</v>
      </c>
    </row>
    <row r="137" spans="3:7" x14ac:dyDescent="0.2">
      <c r="C137" s="49" t="s">
        <v>122</v>
      </c>
      <c r="E137" s="55" t="s">
        <v>122</v>
      </c>
      <c r="F137" s="50"/>
      <c r="G137" s="51"/>
    </row>
    <row r="138" spans="3:7" x14ac:dyDescent="0.2">
      <c r="C138" s="52" t="s">
        <v>123</v>
      </c>
      <c r="D138" s="53"/>
      <c r="E138" s="118" t="s">
        <v>124</v>
      </c>
      <c r="F138" s="118"/>
      <c r="G138" s="118"/>
    </row>
    <row r="139" spans="3:7" x14ac:dyDescent="0.2">
      <c r="C139" s="52"/>
      <c r="D139" s="53"/>
      <c r="E139" s="54"/>
      <c r="F139" s="54"/>
      <c r="G139" s="54"/>
    </row>
    <row r="140" spans="3:7" x14ac:dyDescent="0.2">
      <c r="C140" s="52"/>
      <c r="D140" s="53"/>
      <c r="E140" s="53"/>
      <c r="F140" s="53"/>
      <c r="G140" s="54"/>
    </row>
    <row r="141" spans="3:7" ht="17.25" customHeight="1" x14ac:dyDescent="0.2">
      <c r="C141" s="119"/>
      <c r="E141" s="121"/>
      <c r="F141" s="122"/>
      <c r="G141" s="123"/>
    </row>
    <row r="142" spans="3:7" ht="17.25" customHeight="1" x14ac:dyDescent="0.2">
      <c r="C142" s="120"/>
      <c r="E142" s="124"/>
      <c r="F142" s="125"/>
      <c r="G142" s="126"/>
    </row>
  </sheetData>
  <sheetProtection selectLockedCells="1"/>
  <mergeCells count="128">
    <mergeCell ref="B123:C123"/>
    <mergeCell ref="B124:C124"/>
    <mergeCell ref="B121:C121"/>
    <mergeCell ref="B122:C122"/>
    <mergeCell ref="B125:C125"/>
    <mergeCell ref="E138:G138"/>
    <mergeCell ref="C141:C142"/>
    <mergeCell ref="E141:G142"/>
    <mergeCell ref="K9:L9"/>
    <mergeCell ref="G128:G129"/>
    <mergeCell ref="C128:F129"/>
    <mergeCell ref="B11:C11"/>
    <mergeCell ref="B12:C12"/>
    <mergeCell ref="B13:C13"/>
    <mergeCell ref="B28:C28"/>
    <mergeCell ref="B29:C29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46:C46"/>
    <mergeCell ref="B47:C47"/>
    <mergeCell ref="B48:C48"/>
    <mergeCell ref="B50:C50"/>
    <mergeCell ref="B51:C51"/>
    <mergeCell ref="B52:C52"/>
    <mergeCell ref="B26:C26"/>
    <mergeCell ref="B27:C27"/>
    <mergeCell ref="B44:C44"/>
    <mergeCell ref="B45:C45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71:C71"/>
    <mergeCell ref="B72:C72"/>
    <mergeCell ref="B73:C73"/>
    <mergeCell ref="B75:C75"/>
    <mergeCell ref="B76:C76"/>
    <mergeCell ref="B77:C77"/>
    <mergeCell ref="B65:C65"/>
    <mergeCell ref="B66:C66"/>
    <mergeCell ref="B67:C67"/>
    <mergeCell ref="B68:C68"/>
    <mergeCell ref="B69:C69"/>
    <mergeCell ref="B70:C70"/>
    <mergeCell ref="B88:C88"/>
    <mergeCell ref="B89:C89"/>
    <mergeCell ref="B90:C90"/>
    <mergeCell ref="B91:C91"/>
    <mergeCell ref="B92:C92"/>
    <mergeCell ref="B94:C94"/>
    <mergeCell ref="B78:C78"/>
    <mergeCell ref="B79:C79"/>
    <mergeCell ref="B80:C80"/>
    <mergeCell ref="B81:C81"/>
    <mergeCell ref="B82:C82"/>
    <mergeCell ref="B87:C87"/>
    <mergeCell ref="B83:C83"/>
    <mergeCell ref="B84:C84"/>
    <mergeCell ref="B85:C85"/>
    <mergeCell ref="B113:C113"/>
    <mergeCell ref="B114:C114"/>
    <mergeCell ref="B101:C101"/>
    <mergeCell ref="B102:C102"/>
    <mergeCell ref="B104:C104"/>
    <mergeCell ref="B105:C105"/>
    <mergeCell ref="B106:C106"/>
    <mergeCell ref="B107:C107"/>
    <mergeCell ref="B95:C95"/>
    <mergeCell ref="B96:C96"/>
    <mergeCell ref="B97:C97"/>
    <mergeCell ref="B98:C98"/>
    <mergeCell ref="B99:C99"/>
    <mergeCell ref="B100:C100"/>
    <mergeCell ref="K2:Q8"/>
    <mergeCell ref="D5:F5"/>
    <mergeCell ref="D4:F4"/>
    <mergeCell ref="A1:G1"/>
    <mergeCell ref="A3:G3"/>
    <mergeCell ref="A2:G2"/>
    <mergeCell ref="A9:G9"/>
    <mergeCell ref="A7:G7"/>
    <mergeCell ref="B126:C126"/>
    <mergeCell ref="A4:B4"/>
    <mergeCell ref="A5:B5"/>
    <mergeCell ref="A6:B6"/>
    <mergeCell ref="C6:G6"/>
    <mergeCell ref="B8:C8"/>
    <mergeCell ref="B115:C115"/>
    <mergeCell ref="B116:C116"/>
    <mergeCell ref="B117:C117"/>
    <mergeCell ref="B118:C118"/>
    <mergeCell ref="B119:C119"/>
    <mergeCell ref="B120:C120"/>
    <mergeCell ref="B108:C108"/>
    <mergeCell ref="B109:C109"/>
    <mergeCell ref="B110:C110"/>
    <mergeCell ref="B111:C111"/>
  </mergeCells>
  <conditionalFormatting sqref="A16:A31">
    <cfRule type="expression" dxfId="25" priority="7">
      <formula>$E16="X"</formula>
    </cfRule>
  </conditionalFormatting>
  <conditionalFormatting sqref="A118:A126">
    <cfRule type="expression" dxfId="24" priority="31">
      <formula>$E118="X"</formula>
    </cfRule>
  </conditionalFormatting>
  <conditionalFormatting sqref="A11:D19">
    <cfRule type="expression" dxfId="23" priority="64">
      <formula>$E11="X"</formula>
    </cfRule>
  </conditionalFormatting>
  <conditionalFormatting sqref="A34:F35 A36:G42 G122:G125">
    <cfRule type="expression" dxfId="22" priority="201">
      <formula>$E34="X"</formula>
    </cfRule>
  </conditionalFormatting>
  <conditionalFormatting sqref="A20:G33">
    <cfRule type="expression" dxfId="21" priority="167">
      <formula>$E20="X"</formula>
    </cfRule>
  </conditionalFormatting>
  <conditionalFormatting sqref="A44:G48">
    <cfRule type="expression" dxfId="20" priority="50">
      <formula>$E44="X"</formula>
    </cfRule>
  </conditionalFormatting>
  <conditionalFormatting sqref="A50:G73">
    <cfRule type="expression" dxfId="19" priority="38">
      <formula>$E50="X"</formula>
    </cfRule>
  </conditionalFormatting>
  <conditionalFormatting sqref="A75:G85">
    <cfRule type="expression" dxfId="18" priority="34">
      <formula>$E75="X"</formula>
    </cfRule>
  </conditionalFormatting>
  <conditionalFormatting sqref="A87:G92">
    <cfRule type="expression" dxfId="17" priority="83">
      <formula>$E87="X"</formula>
    </cfRule>
  </conditionalFormatting>
  <conditionalFormatting sqref="A94:G102">
    <cfRule type="expression" dxfId="16" priority="35">
      <formula>$E94="X"</formula>
    </cfRule>
  </conditionalFormatting>
  <conditionalFormatting sqref="A104:G111">
    <cfRule type="expression" dxfId="15" priority="105">
      <formula>$E104="X"</formula>
    </cfRule>
  </conditionalFormatting>
  <conditionalFormatting sqref="A113:G117">
    <cfRule type="expression" dxfId="14" priority="54">
      <formula>$E113="X"</formula>
    </cfRule>
  </conditionalFormatting>
  <conditionalFormatting sqref="B122:F126">
    <cfRule type="expression" dxfId="13" priority="2">
      <formula>$E122="X"</formula>
    </cfRule>
  </conditionalFormatting>
  <conditionalFormatting sqref="B118:G121">
    <cfRule type="expression" dxfId="12" priority="30">
      <formula>$E118="X"</formula>
    </cfRule>
  </conditionalFormatting>
  <conditionalFormatting sqref="E13:E19">
    <cfRule type="expression" dxfId="11" priority="66">
      <formula>$E13="X"</formula>
    </cfRule>
  </conditionalFormatting>
  <conditionalFormatting sqref="E11:F12">
    <cfRule type="expression" dxfId="10" priority="81">
      <formula>$E11="X"</formula>
    </cfRule>
  </conditionalFormatting>
  <conditionalFormatting sqref="F13:F15">
    <cfRule type="expression" dxfId="9" priority="80">
      <formula>$E13="X"</formula>
    </cfRule>
  </conditionalFormatting>
  <conditionalFormatting sqref="F16:G19">
    <cfRule type="expression" dxfId="8" priority="178">
      <formula>$E16="X"</formula>
    </cfRule>
  </conditionalFormatting>
  <conditionalFormatting sqref="G11:G15">
    <cfRule type="expression" dxfId="7" priority="199">
      <formula>$E11="X"</formula>
    </cfRule>
  </conditionalFormatting>
  <conditionalFormatting sqref="G35">
    <cfRule type="expression" dxfId="6" priority="1">
      <formula>$E35="X"</formula>
    </cfRule>
  </conditionalFormatting>
  <conditionalFormatting sqref="G127">
    <cfRule type="expression" dxfId="5" priority="211">
      <formula>$E126="X"</formula>
    </cfRule>
  </conditionalFormatting>
  <conditionalFormatting sqref="I1">
    <cfRule type="cellIs" dxfId="1" priority="205" operator="equal">
      <formula>"FORMULÁRIO INCOMPLETO"</formula>
    </cfRule>
    <cfRule type="cellIs" dxfId="0" priority="206" operator="equal">
      <formula>"FORMULÁRIO COMPLETO"</formula>
    </cfRule>
  </conditionalFormatting>
  <dataValidations count="2">
    <dataValidation type="list" allowBlank="1" showInputMessage="1" showErrorMessage="1" sqref="D11:F42 D50:F73 D104:F111 D75:F85 D44:F48 D94:F102 D87:F92 D113:F126" xr:uid="{00000000-0002-0000-0100-000000000000}">
      <formula1>"X"</formula1>
    </dataValidation>
    <dataValidation type="textLength" allowBlank="1" showInputMessage="1" showErrorMessage="1" sqref="D10:F10 D43:F43 D49:F49 D74:F74 D86:F86 D93:F93 D103:F103 D112:F112" xr:uid="{00000000-0002-0000-0100-000001000000}">
      <formula1>0</formula1>
      <formula2>0</formula2>
    </dataValidation>
  </dataValidations>
  <pageMargins left="0.47" right="0.35433070866141703" top="0.23622047244094499" bottom="0.59250000000000003" header="0.31496062992126" footer="0.31496062992126"/>
  <pageSetup paperSize="9" scale="57" fitToHeight="0" orientation="portrait" r:id="rId1"/>
  <headerFooter>
    <oddFooter>&amp;RPage &amp;P of &amp;N</oddFooter>
  </headerFooter>
  <rowBreaks count="2" manualBreakCount="2">
    <brk id="52" max="6" man="1"/>
    <brk id="84" max="6" man="1"/>
  </row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7" operator="equal" id="{69E292AC-B384-4E20-B778-1102EA646CEE}">
            <xm:f>References!$C$4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08" operator="equal" id="{D8F6C931-E587-441B-B082-6F1C62DFEE3E}">
            <xm:f>References!$C$2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209" operator="equal" id="{189A57C0-5CCA-4D3C-B02D-5426E42A1ED6}">
            <xm:f>References!$C$1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greaterThan" allowBlank="1" showInputMessage="1" showErrorMessage="1" xr:uid="{00000000-0002-0000-0100-000002000000}">
          <x14:formula1>
            <xm:f>References!H2:H37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112"/>
  <sheetViews>
    <sheetView showGridLines="0" zoomScale="85" zoomScaleNormal="85" workbookViewId="0">
      <selection activeCell="G1" sqref="G1"/>
    </sheetView>
  </sheetViews>
  <sheetFormatPr defaultColWidth="8.85546875" defaultRowHeight="12.75" x14ac:dyDescent="0.2"/>
  <cols>
    <col min="1" max="1" width="9.140625" style="13"/>
    <col min="2" max="2" width="126.42578125" customWidth="1"/>
    <col min="3" max="3" width="28.140625" bestFit="1" customWidth="1"/>
    <col min="4" max="4" width="3.85546875" style="1" bestFit="1" customWidth="1"/>
    <col min="5" max="6" width="14.7109375" style="16" customWidth="1"/>
    <col min="7" max="7" width="15.28515625" style="48" customWidth="1"/>
    <col min="8" max="8" width="11.140625" customWidth="1"/>
  </cols>
  <sheetData>
    <row r="1" spans="1:8" s="91" customFormat="1" ht="28.5" customHeight="1" x14ac:dyDescent="0.2">
      <c r="A1" s="86" t="s">
        <v>12</v>
      </c>
      <c r="B1" s="87" t="s">
        <v>125</v>
      </c>
      <c r="C1" s="87" t="s">
        <v>269</v>
      </c>
      <c r="D1" s="88"/>
      <c r="E1" s="89" t="s">
        <v>268</v>
      </c>
      <c r="F1" s="89" t="s">
        <v>126</v>
      </c>
      <c r="G1" s="90">
        <f>'HSE Checklist'!G5</f>
        <v>45017</v>
      </c>
    </row>
    <row r="2" spans="1:8" ht="14.25" x14ac:dyDescent="0.2">
      <c r="A2" s="25" t="s">
        <v>127</v>
      </c>
      <c r="B2" s="7" t="str">
        <f>'HSE Checklist'!B11</f>
        <v>Manual HSE VAMED actualizado</v>
      </c>
      <c r="C2" s="7">
        <v>2</v>
      </c>
      <c r="D2" s="4" t="str">
        <f>IF('HSE Checklist'!F11&lt;&gt;"",'HSE Checklist'!F11,"")</f>
        <v/>
      </c>
      <c r="E2" s="14">
        <f t="shared" ref="E2:E33" si="0">1/COUNTA($A$2:$A$110)</f>
        <v>9.1743119266055051E-3</v>
      </c>
      <c r="F2" s="18">
        <f t="shared" ref="F2:F33" si="1">IF(D2="X",0,1/(COUNTA($A$2:$A$110)-COUNTIF($D$2:$D$110,"X")))</f>
        <v>9.5238095238095247E-3</v>
      </c>
      <c r="G2" s="47">
        <f>IF(D2="X",F2,IF('HSE Checklist'!D11="X",F2,-F2))</f>
        <v>9.5238095238095247E-3</v>
      </c>
      <c r="H2" s="15"/>
    </row>
    <row r="3" spans="1:8" ht="14.25" x14ac:dyDescent="0.2">
      <c r="A3" s="25" t="s">
        <v>128</v>
      </c>
      <c r="B3" s="7" t="str">
        <f>'HSE Checklist'!B12</f>
        <v>Licença de Obra (afixada)</v>
      </c>
      <c r="C3" s="7">
        <v>1</v>
      </c>
      <c r="D3" s="4" t="str">
        <f>IF('HSE Checklist'!F12&lt;&gt;"",'HSE Checklist'!F12,"")</f>
        <v/>
      </c>
      <c r="E3" s="14">
        <f t="shared" si="0"/>
        <v>9.1743119266055051E-3</v>
      </c>
      <c r="F3" s="18">
        <f t="shared" si="1"/>
        <v>9.5238095238095247E-3</v>
      </c>
      <c r="G3" s="47">
        <f>IF(D3="X",F3,IF('HSE Checklist'!D12="X",F3,-F3))</f>
        <v>9.5238095238095247E-3</v>
      </c>
      <c r="H3" s="15"/>
    </row>
    <row r="4" spans="1:8" ht="14.25" x14ac:dyDescent="0.2">
      <c r="A4" s="25" t="s">
        <v>129</v>
      </c>
      <c r="B4" s="7" t="str">
        <f>'HSE Checklist'!B13</f>
        <v>Plano de Segurança e Saúde aprovado</v>
      </c>
      <c r="C4" s="7">
        <v>3</v>
      </c>
      <c r="D4" s="4" t="str">
        <f>IF('HSE Checklist'!F13&lt;&gt;"",'HSE Checklist'!F13,"")</f>
        <v/>
      </c>
      <c r="E4" s="14">
        <f t="shared" si="0"/>
        <v>9.1743119266055051E-3</v>
      </c>
      <c r="F4" s="18">
        <f t="shared" si="1"/>
        <v>9.5238095238095247E-3</v>
      </c>
      <c r="G4" s="47">
        <f>IF(D4="X",F4,IF('HSE Checklist'!D13="X",F4,-F4))</f>
        <v>9.5238095238095247E-3</v>
      </c>
      <c r="H4" s="15"/>
    </row>
    <row r="5" spans="1:8" ht="14.25" x14ac:dyDescent="0.2">
      <c r="A5" s="25" t="s">
        <v>130</v>
      </c>
      <c r="B5" s="7" t="str">
        <f>'HSE Checklist'!B14</f>
        <v>Plano de Gestão Ambiental aprovado</v>
      </c>
      <c r="C5" s="7">
        <v>3</v>
      </c>
      <c r="D5" s="4" t="str">
        <f>IF('HSE Checklist'!F14&lt;&gt;"",'HSE Checklist'!F14,"")</f>
        <v/>
      </c>
      <c r="E5" s="14">
        <f t="shared" si="0"/>
        <v>9.1743119266055051E-3</v>
      </c>
      <c r="F5" s="18">
        <f t="shared" si="1"/>
        <v>9.5238095238095247E-3</v>
      </c>
      <c r="G5" s="47">
        <f>IF(D5="X",F5,IF('HSE Checklist'!D14="X",F5,-F5))</f>
        <v>9.5238095238095247E-3</v>
      </c>
      <c r="H5" s="15"/>
    </row>
    <row r="6" spans="1:8" ht="14.25" x14ac:dyDescent="0.2">
      <c r="A6" s="25" t="s">
        <v>131</v>
      </c>
      <c r="B6" s="7" t="str">
        <f>'HSE Checklist'!B15</f>
        <v>Plano de Gestão de Resíduos aprovado pela ANR</v>
      </c>
      <c r="C6" s="7">
        <v>1</v>
      </c>
      <c r="D6" s="4" t="str">
        <f>IF('HSE Checklist'!F15&lt;&gt;"",'HSE Checklist'!F15,"")</f>
        <v/>
      </c>
      <c r="E6" s="14">
        <f t="shared" si="0"/>
        <v>9.1743119266055051E-3</v>
      </c>
      <c r="F6" s="18">
        <f t="shared" si="1"/>
        <v>9.5238095238095247E-3</v>
      </c>
      <c r="G6" s="47">
        <f>IF(D6="X",F6,IF('HSE Checklist'!D15="X",F6,-F6))</f>
        <v>9.5238095238095247E-3</v>
      </c>
      <c r="H6" s="15"/>
    </row>
    <row r="7" spans="1:8" ht="14.25" x14ac:dyDescent="0.2">
      <c r="A7" s="25" t="s">
        <v>132</v>
      </c>
      <c r="B7" s="7" t="str">
        <f>'HSE Checklist'!B16</f>
        <v>Licença dos geradores</v>
      </c>
      <c r="C7" s="7">
        <v>3</v>
      </c>
      <c r="D7" s="4" t="str">
        <f>IF('HSE Checklist'!F16&lt;&gt;"",'HSE Checklist'!F16,"")</f>
        <v/>
      </c>
      <c r="E7" s="14">
        <f t="shared" si="0"/>
        <v>9.1743119266055051E-3</v>
      </c>
      <c r="F7" s="18">
        <f t="shared" si="1"/>
        <v>9.5238095238095247E-3</v>
      </c>
      <c r="G7" s="47">
        <f>IF(D7="X",F7,IF('HSE Checklist'!D16="X",F7,-F7))</f>
        <v>9.5238095238095247E-3</v>
      </c>
      <c r="H7" s="15"/>
    </row>
    <row r="8" spans="1:8" ht="14.25" x14ac:dyDescent="0.2">
      <c r="A8" s="25" t="s">
        <v>133</v>
      </c>
      <c r="B8" s="7" t="str">
        <f>'HSE Checklist'!B17</f>
        <v>Certificado dos Bombeiros</v>
      </c>
      <c r="C8" s="7">
        <v>3</v>
      </c>
      <c r="D8" s="4" t="str">
        <f>IF('HSE Checklist'!F17&lt;&gt;"",'HSE Checklist'!F17,"")</f>
        <v/>
      </c>
      <c r="E8" s="14">
        <f t="shared" si="0"/>
        <v>9.1743119266055051E-3</v>
      </c>
      <c r="F8" s="18">
        <f t="shared" si="1"/>
        <v>9.5238095238095247E-3</v>
      </c>
      <c r="G8" s="47">
        <f>IF(D8="X",F8,IF('HSE Checklist'!D17="X",F8,-F8))</f>
        <v>9.5238095238095247E-3</v>
      </c>
      <c r="H8" s="15"/>
    </row>
    <row r="9" spans="1:8" ht="14.25" x14ac:dyDescent="0.2">
      <c r="A9" s="25" t="s">
        <v>134</v>
      </c>
      <c r="B9" s="7" t="str">
        <f>'HSE Checklist'!B18</f>
        <v>Procedimentos de Segurança submetidos e aprovados para as actividades em curso</v>
      </c>
      <c r="C9" s="7">
        <v>3</v>
      </c>
      <c r="D9" s="4" t="str">
        <f>IF('HSE Checklist'!F18&lt;&gt;"",'HSE Checklist'!F18,"")</f>
        <v/>
      </c>
      <c r="E9" s="14">
        <f t="shared" si="0"/>
        <v>9.1743119266055051E-3</v>
      </c>
      <c r="F9" s="18">
        <f t="shared" si="1"/>
        <v>9.5238095238095247E-3</v>
      </c>
      <c r="G9" s="47">
        <f>IF(D9="X",F9,IF('HSE Checklist'!D18="X",F9,-F9))</f>
        <v>9.5238095238095247E-3</v>
      </c>
      <c r="H9" s="15"/>
    </row>
    <row r="10" spans="1:8" ht="14.25" x14ac:dyDescent="0.2">
      <c r="A10" s="25" t="s">
        <v>135</v>
      </c>
      <c r="B10" s="7" t="str">
        <f>'HSE Checklist'!B19</f>
        <v>Documentação dos trabalhadores (Documento de identificação, atestado médico, Entrega EPI, Certificado Aptidão)</v>
      </c>
      <c r="C10" s="7">
        <v>3</v>
      </c>
      <c r="D10" s="4" t="str">
        <f>IF('HSE Checklist'!F19&lt;&gt;"",'HSE Checklist'!F19,"")</f>
        <v/>
      </c>
      <c r="E10" s="14">
        <f t="shared" si="0"/>
        <v>9.1743119266055051E-3</v>
      </c>
      <c r="F10" s="18">
        <f t="shared" si="1"/>
        <v>9.5238095238095247E-3</v>
      </c>
      <c r="G10" s="47">
        <f>IF(D10="X",F10,IF('HSE Checklist'!D19="X",F10,-F10))</f>
        <v>9.5238095238095247E-3</v>
      </c>
      <c r="H10" s="15"/>
    </row>
    <row r="11" spans="1:8" ht="14.25" x14ac:dyDescent="0.2">
      <c r="A11" s="25" t="s">
        <v>136</v>
      </c>
      <c r="B11" s="7" t="str">
        <f>'HSE Checklist'!B20</f>
        <v>Documentação das empresas (Alvará, Seguro AT, Contribuinte e Seg. Social)</v>
      </c>
      <c r="C11" s="7">
        <v>3</v>
      </c>
      <c r="D11" s="4" t="str">
        <f>IF('HSE Checklist'!F20&lt;&gt;"",'HSE Checklist'!F20,"")</f>
        <v/>
      </c>
      <c r="E11" s="14">
        <f t="shared" si="0"/>
        <v>9.1743119266055051E-3</v>
      </c>
      <c r="F11" s="18">
        <f t="shared" si="1"/>
        <v>9.5238095238095247E-3</v>
      </c>
      <c r="G11" s="47">
        <f>IF(D11="X",F11,IF('HSE Checklist'!D20="X",F11,-F11))</f>
        <v>9.5238095238095247E-3</v>
      </c>
      <c r="H11" s="15"/>
    </row>
    <row r="12" spans="1:8" ht="14.25" x14ac:dyDescent="0.2">
      <c r="A12" s="25" t="s">
        <v>137</v>
      </c>
      <c r="B12" s="7" t="str">
        <f>'HSE Checklist'!B21</f>
        <v>Documentação dos equipamentos</v>
      </c>
      <c r="C12" s="7">
        <v>3</v>
      </c>
      <c r="D12" s="4" t="str">
        <f>IF('HSE Checklist'!F21&lt;&gt;"",'HSE Checklist'!F21,"")</f>
        <v/>
      </c>
      <c r="E12" s="14">
        <f t="shared" si="0"/>
        <v>9.1743119266055051E-3</v>
      </c>
      <c r="F12" s="18">
        <f t="shared" si="1"/>
        <v>9.5238095238095247E-3</v>
      </c>
      <c r="G12" s="47">
        <f>IF(D12="X",F12,IF('HSE Checklist'!D21="X",F12,-F12))</f>
        <v>9.5238095238095247E-3</v>
      </c>
      <c r="H12" s="15"/>
    </row>
    <row r="13" spans="1:8" ht="14.25" x14ac:dyDescent="0.2">
      <c r="A13" s="25" t="s">
        <v>138</v>
      </c>
      <c r="B13" s="7" t="str">
        <f>'HSE Checklist'!B22</f>
        <v>Indução com atribuição de autocolante</v>
      </c>
      <c r="C13" s="7">
        <v>2</v>
      </c>
      <c r="D13" s="4" t="str">
        <f>IF('HSE Checklist'!F22&lt;&gt;"",'HSE Checklist'!F22,"")</f>
        <v/>
      </c>
      <c r="E13" s="14">
        <f t="shared" si="0"/>
        <v>9.1743119266055051E-3</v>
      </c>
      <c r="F13" s="18">
        <f t="shared" si="1"/>
        <v>9.5238095238095247E-3</v>
      </c>
      <c r="G13" s="47">
        <f>IF(D13="X",F13,IF('HSE Checklist'!D22="X",F13,-F13))</f>
        <v>9.5238095238095247E-3</v>
      </c>
      <c r="H13" s="15"/>
    </row>
    <row r="14" spans="1:8" ht="14.25" x14ac:dyDescent="0.2">
      <c r="A14" s="25" t="s">
        <v>139</v>
      </c>
      <c r="B14" s="7" t="str">
        <f>'HSE Checklist'!B23</f>
        <v>Reunião semanal HSE implementada</v>
      </c>
      <c r="C14" s="7">
        <v>2</v>
      </c>
      <c r="D14" s="4" t="str">
        <f>IF('HSE Checklist'!F23&lt;&gt;"",'HSE Checklist'!F23,"")</f>
        <v/>
      </c>
      <c r="E14" s="14">
        <f t="shared" si="0"/>
        <v>9.1743119266055051E-3</v>
      </c>
      <c r="F14" s="18">
        <f t="shared" si="1"/>
        <v>9.5238095238095247E-3</v>
      </c>
      <c r="G14" s="47">
        <f>IF(D14="X",F14,IF('HSE Checklist'!D23="X",F14,-F14))</f>
        <v>9.5238095238095247E-3</v>
      </c>
      <c r="H14" s="15"/>
    </row>
    <row r="15" spans="1:8" ht="14.25" x14ac:dyDescent="0.2">
      <c r="A15" s="25" t="s">
        <v>140</v>
      </c>
      <c r="B15" s="7" t="str">
        <f>'HSE Checklist'!B24</f>
        <v>Relatório mensal implementado</v>
      </c>
      <c r="C15" s="7">
        <v>2</v>
      </c>
      <c r="D15" s="4" t="str">
        <f>IF('HSE Checklist'!F24&lt;&gt;"",'HSE Checklist'!F24,"")</f>
        <v/>
      </c>
      <c r="E15" s="14">
        <f t="shared" si="0"/>
        <v>9.1743119266055051E-3</v>
      </c>
      <c r="F15" s="18">
        <f t="shared" si="1"/>
        <v>9.5238095238095247E-3</v>
      </c>
      <c r="G15" s="47">
        <f>IF(D15="X",F15,IF('HSE Checklist'!D24="X",F15,-F15))</f>
        <v>9.5238095238095247E-3</v>
      </c>
      <c r="H15" s="15"/>
    </row>
    <row r="16" spans="1:8" ht="14.25" x14ac:dyDescent="0.2">
      <c r="A16" s="25" t="s">
        <v>141</v>
      </c>
      <c r="B16" s="7" t="str">
        <f>'HSE Checklist'!B25</f>
        <v>Quadro de sinistralidade</v>
      </c>
      <c r="C16" s="7">
        <v>1</v>
      </c>
      <c r="D16" s="4" t="str">
        <f>IF('HSE Checklist'!F25&lt;&gt;"",'HSE Checklist'!F25,"")</f>
        <v/>
      </c>
      <c r="E16" s="14">
        <f t="shared" si="0"/>
        <v>9.1743119266055051E-3</v>
      </c>
      <c r="F16" s="18">
        <f t="shared" si="1"/>
        <v>9.5238095238095247E-3</v>
      </c>
      <c r="G16" s="47">
        <f>IF(D16="X",F16,IF('HSE Checklist'!D25="X",F16,-F16))</f>
        <v>9.5238095238095247E-3</v>
      </c>
      <c r="H16" s="15"/>
    </row>
    <row r="17" spans="1:8" ht="14.25" x14ac:dyDescent="0.2">
      <c r="A17" s="25" t="s">
        <v>142</v>
      </c>
      <c r="B17" s="7" t="str">
        <f>'HSE Checklist'!B26</f>
        <v>Investigação de acidentes</v>
      </c>
      <c r="C17" s="7">
        <v>1</v>
      </c>
      <c r="D17" s="4" t="str">
        <f>IF('HSE Checklist'!F26&lt;&gt;"",'HSE Checklist'!F26,"")</f>
        <v>X</v>
      </c>
      <c r="E17" s="14">
        <f t="shared" si="0"/>
        <v>9.1743119266055051E-3</v>
      </c>
      <c r="F17" s="18">
        <f t="shared" si="1"/>
        <v>0</v>
      </c>
      <c r="G17" s="47">
        <f>IF(D17="X",F17,IF('HSE Checklist'!D26="X",F17,-F17))</f>
        <v>0</v>
      </c>
      <c r="H17" s="15"/>
    </row>
    <row r="18" spans="1:8" ht="14.25" x14ac:dyDescent="0.2">
      <c r="A18" s="25" t="s">
        <v>143</v>
      </c>
      <c r="B18" s="7" t="str">
        <f>'HSE Checklist'!B27</f>
        <v>Relatório trimestral (INGA)</v>
      </c>
      <c r="C18" s="7">
        <v>1</v>
      </c>
      <c r="D18" s="4" t="str">
        <f>IF('HSE Checklist'!F27&lt;&gt;"",'HSE Checklist'!F27,"")</f>
        <v/>
      </c>
      <c r="E18" s="14">
        <f t="shared" si="0"/>
        <v>9.1743119266055051E-3</v>
      </c>
      <c r="F18" s="18">
        <f t="shared" si="1"/>
        <v>9.5238095238095247E-3</v>
      </c>
      <c r="G18" s="47">
        <f>IF(D18="X",F18,IF('HSE Checklist'!D27="X",F18,-F18))</f>
        <v>9.5238095238095247E-3</v>
      </c>
      <c r="H18" s="15"/>
    </row>
    <row r="19" spans="1:8" ht="14.25" x14ac:dyDescent="0.2">
      <c r="A19" s="25" t="s">
        <v>144</v>
      </c>
      <c r="B19" s="7" t="str">
        <f>'HSE Checklist'!B28</f>
        <v>Relatório semestral (Entidades financiadoras)</v>
      </c>
      <c r="C19" s="7">
        <v>1</v>
      </c>
      <c r="D19" s="4" t="str">
        <f>IF('HSE Checklist'!F28&lt;&gt;"",'HSE Checklist'!F28,"")</f>
        <v/>
      </c>
      <c r="E19" s="14">
        <f t="shared" si="0"/>
        <v>9.1743119266055051E-3</v>
      </c>
      <c r="F19" s="18">
        <f t="shared" si="1"/>
        <v>9.5238095238095247E-3</v>
      </c>
      <c r="G19" s="47">
        <f>IF(D19="X",F19,IF('HSE Checklist'!D28="X",F19,-F19))</f>
        <v>9.5238095238095247E-3</v>
      </c>
      <c r="H19" s="15"/>
    </row>
    <row r="20" spans="1:8" ht="14.25" x14ac:dyDescent="0.2">
      <c r="A20" s="25" t="s">
        <v>145</v>
      </c>
      <c r="B20" s="7" t="str">
        <f>'HSE Checklist'!B29</f>
        <v>N.º Técnicos de Segurança dos subcontratados de acordo com as regras VAMED</v>
      </c>
      <c r="C20" s="7">
        <v>3</v>
      </c>
      <c r="D20" s="4" t="str">
        <f>IF('HSE Checklist'!F29&lt;&gt;"",'HSE Checklist'!F29,"")</f>
        <v/>
      </c>
      <c r="E20" s="14">
        <f t="shared" si="0"/>
        <v>9.1743119266055051E-3</v>
      </c>
      <c r="F20" s="18">
        <f t="shared" si="1"/>
        <v>9.5238095238095247E-3</v>
      </c>
      <c r="G20" s="47">
        <f>IF(D20="X",F20,IF('HSE Checklist'!D29="X",F20,-F20))</f>
        <v>9.5238095238095247E-3</v>
      </c>
      <c r="H20" s="15"/>
    </row>
    <row r="21" spans="1:8" ht="14.25" x14ac:dyDescent="0.2">
      <c r="A21" s="25" t="s">
        <v>146</v>
      </c>
      <c r="B21" s="7" t="str">
        <f>'HSE Checklist'!B30</f>
        <v>Sensibilização semanal de HSE</v>
      </c>
      <c r="C21" s="7">
        <v>2</v>
      </c>
      <c r="D21" s="4" t="str">
        <f>IF('HSE Checklist'!F30&lt;&gt;"",'HSE Checklist'!F30,"")</f>
        <v/>
      </c>
      <c r="E21" s="14">
        <f t="shared" si="0"/>
        <v>9.1743119266055051E-3</v>
      </c>
      <c r="F21" s="18">
        <f t="shared" si="1"/>
        <v>9.5238095238095247E-3</v>
      </c>
      <c r="G21" s="47">
        <f>IF(D21="X",F21,IF('HSE Checklist'!D30="X",F21,-F21))</f>
        <v>9.5238095238095247E-3</v>
      </c>
      <c r="H21" s="15"/>
    </row>
    <row r="22" spans="1:8" ht="14.25" x14ac:dyDescent="0.2">
      <c r="A22" s="25" t="s">
        <v>147</v>
      </c>
      <c r="B22" s="7" t="str">
        <f>'HSE Checklist'!B31</f>
        <v>Realização de controlos de alcoolemia</v>
      </c>
      <c r="C22" s="7">
        <v>2</v>
      </c>
      <c r="D22" s="4" t="str">
        <f>IF('HSE Checklist'!F31&lt;&gt;"",'HSE Checklist'!F31,"")</f>
        <v/>
      </c>
      <c r="E22" s="14">
        <f t="shared" si="0"/>
        <v>9.1743119266055051E-3</v>
      </c>
      <c r="F22" s="18">
        <f t="shared" si="1"/>
        <v>9.5238095238095247E-3</v>
      </c>
      <c r="G22" s="47">
        <f>IF(D22="X",F22,IF('HSE Checklist'!D31="X",F22,-F22))</f>
        <v>9.5238095238095247E-3</v>
      </c>
      <c r="H22" s="15"/>
    </row>
    <row r="23" spans="1:8" ht="14.25" x14ac:dyDescent="0.2">
      <c r="A23" s="25" t="s">
        <v>148</v>
      </c>
      <c r="B23" s="84" t="str">
        <f>'HSE Checklist'!B32</f>
        <v>Licença de origem das matérias primas</v>
      </c>
      <c r="C23" s="84">
        <v>3</v>
      </c>
      <c r="D23" s="4" t="str">
        <f>IF('HSE Checklist'!F32&lt;&gt;"",'HSE Checklist'!F32,"")</f>
        <v/>
      </c>
      <c r="E23" s="14">
        <f t="shared" si="0"/>
        <v>9.1743119266055051E-3</v>
      </c>
      <c r="F23" s="18">
        <f t="shared" si="1"/>
        <v>9.5238095238095247E-3</v>
      </c>
      <c r="G23" s="47">
        <f>IF(D23="X",F23,IF('HSE Checklist'!D32="X",F23,-F23))</f>
        <v>9.5238095238095247E-3</v>
      </c>
      <c r="H23" s="15"/>
    </row>
    <row r="24" spans="1:8" ht="14.25" x14ac:dyDescent="0.2">
      <c r="A24" s="25" t="s">
        <v>255</v>
      </c>
      <c r="B24" s="84" t="str">
        <f>'HSE Checklist'!B33</f>
        <v>Realização de indução aos visitantes</v>
      </c>
      <c r="C24" s="84">
        <v>2</v>
      </c>
      <c r="D24" s="4" t="str">
        <f>IF('HSE Checklist'!F33&lt;&gt;"",'HSE Checklist'!F33,"")</f>
        <v/>
      </c>
      <c r="E24" s="14">
        <f t="shared" si="0"/>
        <v>9.1743119266055051E-3</v>
      </c>
      <c r="F24" s="18">
        <f t="shared" si="1"/>
        <v>9.5238095238095247E-3</v>
      </c>
      <c r="G24" s="47">
        <f>IF(D24="X",F24,IF('HSE Checklist'!D33="X",F24,-F24))</f>
        <v>9.5238095238095247E-3</v>
      </c>
      <c r="H24" s="15"/>
    </row>
    <row r="25" spans="1:8" ht="14.25" x14ac:dyDescent="0.2">
      <c r="A25" s="25" t="s">
        <v>256</v>
      </c>
      <c r="B25" s="84" t="str">
        <f>'HSE Checklist'!B34</f>
        <v>Formação mensal aos seguranças</v>
      </c>
      <c r="C25" s="84">
        <v>2</v>
      </c>
      <c r="D25" s="4" t="str">
        <f>IF('HSE Checklist'!F34&lt;&gt;"",'HSE Checklist'!F34,"")</f>
        <v/>
      </c>
      <c r="E25" s="14">
        <f t="shared" si="0"/>
        <v>9.1743119266055051E-3</v>
      </c>
      <c r="F25" s="18">
        <f t="shared" si="1"/>
        <v>9.5238095238095247E-3</v>
      </c>
      <c r="G25" s="47">
        <f>IF(D25="X",F25,IF('HSE Checklist'!D34="X",F25,-F25))</f>
        <v>9.5238095238095247E-3</v>
      </c>
      <c r="H25" s="15"/>
    </row>
    <row r="26" spans="1:8" ht="14.25" x14ac:dyDescent="0.2">
      <c r="A26" s="25" t="s">
        <v>257</v>
      </c>
      <c r="B26" s="84" t="str">
        <f>'HSE Checklist'!B35</f>
        <v>Recolha da documentação dos seguranças</v>
      </c>
      <c r="C26" s="84">
        <v>2</v>
      </c>
      <c r="D26" s="4" t="str">
        <f>IF('HSE Checklist'!F35&lt;&gt;"",'HSE Checklist'!F35,"")</f>
        <v/>
      </c>
      <c r="E26" s="14">
        <f t="shared" si="0"/>
        <v>9.1743119266055051E-3</v>
      </c>
      <c r="F26" s="18">
        <f t="shared" si="1"/>
        <v>9.5238095238095247E-3</v>
      </c>
      <c r="G26" s="47">
        <f>IF(D26="X",F26,IF('HSE Checklist'!D35="X",F26,-F26))</f>
        <v>9.5238095238095247E-3</v>
      </c>
      <c r="H26" s="15"/>
    </row>
    <row r="27" spans="1:8" ht="14.25" x14ac:dyDescent="0.2">
      <c r="A27" s="25" t="s">
        <v>258</v>
      </c>
      <c r="B27" s="84" t="str">
        <f>'HSE Checklist'!B36</f>
        <v>Cumprimento do SEP (Stakeholders Engagement Plan)</v>
      </c>
      <c r="C27" s="84">
        <v>2</v>
      </c>
      <c r="D27" s="4" t="str">
        <f>IF('HSE Checklist'!F36&lt;&gt;"",'HSE Checklist'!F36,"")</f>
        <v/>
      </c>
      <c r="E27" s="14">
        <f t="shared" si="0"/>
        <v>9.1743119266055051E-3</v>
      </c>
      <c r="F27" s="18">
        <f t="shared" si="1"/>
        <v>9.5238095238095247E-3</v>
      </c>
      <c r="G27" s="47">
        <f>IF(D27="X",F27,IF('HSE Checklist'!D36="X",F27,-F27))</f>
        <v>9.5238095238095247E-3</v>
      </c>
      <c r="H27" s="15"/>
    </row>
    <row r="28" spans="1:8" ht="14.25" x14ac:dyDescent="0.2">
      <c r="A28" s="25" t="s">
        <v>259</v>
      </c>
      <c r="B28" s="84" t="str">
        <f>'HSE Checklist'!B37</f>
        <v>Interação mensal com as comunidades</v>
      </c>
      <c r="C28" s="84">
        <v>3</v>
      </c>
      <c r="D28" s="4" t="str">
        <f>IF('HSE Checklist'!F37&lt;&gt;"",'HSE Checklist'!F37,"")</f>
        <v/>
      </c>
      <c r="E28" s="14">
        <f t="shared" si="0"/>
        <v>9.1743119266055051E-3</v>
      </c>
      <c r="F28" s="18">
        <f t="shared" si="1"/>
        <v>9.5238095238095247E-3</v>
      </c>
      <c r="G28" s="47">
        <f>IF(D28="X",F28,IF('HSE Checklist'!D37="X",F28,-F28))</f>
        <v>9.5238095238095247E-3</v>
      </c>
      <c r="H28" s="15"/>
    </row>
    <row r="29" spans="1:8" ht="14.25" x14ac:dyDescent="0.2">
      <c r="A29" s="25" t="s">
        <v>260</v>
      </c>
      <c r="B29" s="84" t="str">
        <f>'HSE Checklist'!B38</f>
        <v>Implementação do projeto de responsabilidade social</v>
      </c>
      <c r="C29" s="84">
        <v>3</v>
      </c>
      <c r="D29" s="4" t="str">
        <f>IF('HSE Checklist'!F38&lt;&gt;"",'HSE Checklist'!F38,"")</f>
        <v/>
      </c>
      <c r="E29" s="14">
        <f t="shared" si="0"/>
        <v>9.1743119266055051E-3</v>
      </c>
      <c r="F29" s="18">
        <f t="shared" si="1"/>
        <v>9.5238095238095247E-3</v>
      </c>
      <c r="G29" s="47">
        <f>IF(D29="X",F29,IF('HSE Checklist'!D38="X",F29,-F29))</f>
        <v>9.5238095238095247E-3</v>
      </c>
      <c r="H29" s="15"/>
    </row>
    <row r="30" spans="1:8" ht="14.25" x14ac:dyDescent="0.2">
      <c r="A30" s="25" t="s">
        <v>261</v>
      </c>
      <c r="B30" s="84" t="str">
        <f>'HSE Checklist'!B39</f>
        <v>Inspeção e condições de habitabilidade das bases de vida dos subcontratados</v>
      </c>
      <c r="C30" s="84">
        <v>2</v>
      </c>
      <c r="D30" s="4" t="str">
        <f>IF('HSE Checklist'!F39&lt;&gt;"",'HSE Checklist'!F39,"")</f>
        <v/>
      </c>
      <c r="E30" s="14">
        <f t="shared" si="0"/>
        <v>9.1743119266055051E-3</v>
      </c>
      <c r="F30" s="18">
        <f t="shared" si="1"/>
        <v>9.5238095238095247E-3</v>
      </c>
      <c r="G30" s="47">
        <f>IF(D30="X",F30,IF('HSE Checklist'!D39="X",F30,-F30))</f>
        <v>9.5238095238095247E-3</v>
      </c>
      <c r="H30" s="15"/>
    </row>
    <row r="31" spans="1:8" ht="14.25" x14ac:dyDescent="0.2">
      <c r="A31" s="25" t="s">
        <v>262</v>
      </c>
      <c r="B31" s="84" t="str">
        <f>'HSE Checklist'!B40</f>
        <v>Criação da CPAT ou definição do representante dos trabalhadores</v>
      </c>
      <c r="C31" s="84">
        <v>2</v>
      </c>
      <c r="D31" s="4" t="str">
        <f>IF('HSE Checklist'!F40&lt;&gt;"",'HSE Checklist'!F40,"")</f>
        <v/>
      </c>
      <c r="E31" s="14">
        <f t="shared" si="0"/>
        <v>9.1743119266055051E-3</v>
      </c>
      <c r="F31" s="18">
        <f t="shared" si="1"/>
        <v>9.5238095238095247E-3</v>
      </c>
      <c r="G31" s="47">
        <f>IF(D31="X",F31,IF('HSE Checklist'!D40="X",F31,-F31))</f>
        <v>9.5238095238095247E-3</v>
      </c>
      <c r="H31" s="15"/>
    </row>
    <row r="32" spans="1:8" ht="14.25" x14ac:dyDescent="0.2">
      <c r="A32" s="25" t="s">
        <v>263</v>
      </c>
      <c r="B32" s="84" t="str">
        <f>'HSE Checklist'!B41</f>
        <v>Reconhecimento mensal</v>
      </c>
      <c r="C32" s="84">
        <v>2</v>
      </c>
      <c r="D32" s="4" t="str">
        <f>IF('HSE Checklist'!F41&lt;&gt;"",'HSE Checklist'!F41,"")</f>
        <v/>
      </c>
      <c r="E32" s="14">
        <f t="shared" si="0"/>
        <v>9.1743119266055051E-3</v>
      </c>
      <c r="F32" s="18">
        <f t="shared" si="1"/>
        <v>9.5238095238095247E-3</v>
      </c>
      <c r="G32" s="47">
        <f>IF(D32="X",F32,IF('HSE Checklist'!D41="X",F32,-F32))</f>
        <v>9.5238095238095247E-3</v>
      </c>
      <c r="H32" s="15"/>
    </row>
    <row r="33" spans="1:8" ht="14.25" x14ac:dyDescent="0.2">
      <c r="A33" s="25" t="s">
        <v>264</v>
      </c>
      <c r="B33" s="85" t="str">
        <f>'HSE Checklist'!B42</f>
        <v>Plano de gestao de tráfego atualizado</v>
      </c>
      <c r="C33" s="85">
        <v>2</v>
      </c>
      <c r="D33" s="4" t="str">
        <f>IF('HSE Checklist'!F42&lt;&gt;"",'HSE Checklist'!F42,"")</f>
        <v/>
      </c>
      <c r="E33" s="14">
        <f t="shared" si="0"/>
        <v>9.1743119266055051E-3</v>
      </c>
      <c r="F33" s="18">
        <f t="shared" si="1"/>
        <v>9.5238095238095247E-3</v>
      </c>
      <c r="G33" s="47">
        <f>IF(D33="X",F33,IF('HSE Checklist'!D42="X",F33,-F33))</f>
        <v>9.5238095238095247E-3</v>
      </c>
      <c r="H33" s="15"/>
    </row>
    <row r="34" spans="1:8" ht="14.25" x14ac:dyDescent="0.2">
      <c r="A34" s="25" t="s">
        <v>149</v>
      </c>
      <c r="B34" s="7" t="str">
        <f>'HSE Checklist'!B44</f>
        <v>Placa de obra (instalação e estado de conservação)</v>
      </c>
      <c r="C34" s="7">
        <v>1</v>
      </c>
      <c r="D34" s="4" t="str">
        <f>IF('HSE Checklist'!F44&lt;&gt;"",'HSE Checklist'!F44,"")</f>
        <v/>
      </c>
      <c r="E34" s="14">
        <f t="shared" ref="E34:E65" si="2">1/COUNTA($A$2:$A$110)</f>
        <v>9.1743119266055051E-3</v>
      </c>
      <c r="F34" s="18">
        <f t="shared" ref="F34:F65" si="3">IF(D34="X",0,1/(COUNTA($A$2:$A$110)-COUNTIF($D$2:$D$110,"X")))</f>
        <v>9.5238095238095247E-3</v>
      </c>
      <c r="G34" s="47">
        <f>IF(D34="X",F34,IF('HSE Checklist'!D44="X",F34,-F34))</f>
        <v>9.5238095238095247E-3</v>
      </c>
      <c r="H34" s="15"/>
    </row>
    <row r="35" spans="1:8" ht="14.25" x14ac:dyDescent="0.2">
      <c r="A35" s="25" t="s">
        <v>150</v>
      </c>
      <c r="B35" s="7" t="str">
        <f>'HSE Checklist'!B45</f>
        <v>Lonas VAMED (instalação e estado de conservação)</v>
      </c>
      <c r="C35" s="7">
        <v>1</v>
      </c>
      <c r="D35" s="4" t="str">
        <f>IF('HSE Checklist'!F45&lt;&gt;"",'HSE Checklist'!F45,"")</f>
        <v/>
      </c>
      <c r="E35" s="14">
        <f t="shared" si="2"/>
        <v>9.1743119266055051E-3</v>
      </c>
      <c r="F35" s="18">
        <f t="shared" si="3"/>
        <v>9.5238095238095247E-3</v>
      </c>
      <c r="G35" s="47">
        <f>IF(D35="X",F35,IF('HSE Checklist'!D45="X",F35,-F35))</f>
        <v>9.5238095238095247E-3</v>
      </c>
      <c r="H35" s="15"/>
    </row>
    <row r="36" spans="1:8" ht="14.25" x14ac:dyDescent="0.2">
      <c r="A36" s="25" t="s">
        <v>151</v>
      </c>
      <c r="B36" s="7" t="str">
        <f>'HSE Checklist'!B46</f>
        <v>PVC de tapume (20m em 20m – instalação e estado de conservação)</v>
      </c>
      <c r="C36" s="7">
        <v>1</v>
      </c>
      <c r="D36" s="4" t="str">
        <f>IF('HSE Checklist'!F46&lt;&gt;"",'HSE Checklist'!F46,"")</f>
        <v/>
      </c>
      <c r="E36" s="14">
        <f t="shared" si="2"/>
        <v>9.1743119266055051E-3</v>
      </c>
      <c r="F36" s="18">
        <f t="shared" si="3"/>
        <v>9.5238095238095247E-3</v>
      </c>
      <c r="G36" s="47">
        <f>IF(D36="X",F36,IF('HSE Checklist'!D46="X",F36,-F36))</f>
        <v>9.5238095238095247E-3</v>
      </c>
      <c r="H36" s="15"/>
    </row>
    <row r="37" spans="1:8" ht="14.25" x14ac:dyDescent="0.2">
      <c r="A37" s="25" t="s">
        <v>152</v>
      </c>
      <c r="B37" s="7" t="str">
        <f>'HSE Checklist'!B47</f>
        <v>Mastros + bandeiras (instalação e estado de conservação)</v>
      </c>
      <c r="C37" s="7">
        <v>1</v>
      </c>
      <c r="D37" s="4" t="str">
        <f>IF('HSE Checklist'!F47&lt;&gt;"",'HSE Checklist'!F47,"")</f>
        <v/>
      </c>
      <c r="E37" s="14">
        <f t="shared" si="2"/>
        <v>9.1743119266055051E-3</v>
      </c>
      <c r="F37" s="18">
        <f t="shared" si="3"/>
        <v>9.5238095238095247E-3</v>
      </c>
      <c r="G37" s="47">
        <f>IF(D37="X",F37,IF('HSE Checklist'!D47="X",F37,-F37))</f>
        <v>9.5238095238095247E-3</v>
      </c>
      <c r="H37" s="15"/>
    </row>
    <row r="38" spans="1:8" ht="14.25" x14ac:dyDescent="0.2">
      <c r="A38" s="25" t="s">
        <v>153</v>
      </c>
      <c r="B38" s="7" t="str">
        <f>'HSE Checklist'!B48</f>
        <v>Sinalização de Entrada de Obra (instalação e estado de conservação)</v>
      </c>
      <c r="C38" s="7">
        <v>1</v>
      </c>
      <c r="D38" s="4" t="str">
        <f>IF('HSE Checklist'!F48&lt;&gt;"",'HSE Checklist'!F48,"")</f>
        <v/>
      </c>
      <c r="E38" s="14">
        <f t="shared" si="2"/>
        <v>9.1743119266055051E-3</v>
      </c>
      <c r="F38" s="18">
        <f t="shared" si="3"/>
        <v>9.5238095238095247E-3</v>
      </c>
      <c r="G38" s="47">
        <f>IF(D38="X",F38,IF('HSE Checklist'!D48="X",F38,-F38))</f>
        <v>9.5238095238095247E-3</v>
      </c>
      <c r="H38" s="15"/>
    </row>
    <row r="39" spans="1:8" ht="14.25" x14ac:dyDescent="0.2">
      <c r="A39" s="25" t="s">
        <v>154</v>
      </c>
      <c r="B39" s="7" t="str">
        <f>'HSE Checklist'!B50</f>
        <v>Controlo de acessos implementado</v>
      </c>
      <c r="C39" s="7">
        <v>2</v>
      </c>
      <c r="D39" s="4" t="str">
        <f>IF('HSE Checklist'!F50&lt;&gt;"",'HSE Checklist'!F50,"")</f>
        <v/>
      </c>
      <c r="E39" s="14">
        <f t="shared" si="2"/>
        <v>9.1743119266055051E-3</v>
      </c>
      <c r="F39" s="18">
        <f t="shared" si="3"/>
        <v>9.5238095238095247E-3</v>
      </c>
      <c r="G39" s="47">
        <f>IF(D39="X",F39,IF('HSE Checklist'!D50="X",F39,-F39))</f>
        <v>9.5238095238095247E-3</v>
      </c>
      <c r="H39" s="15"/>
    </row>
    <row r="40" spans="1:8" ht="14.25" x14ac:dyDescent="0.2">
      <c r="A40" s="25" t="s">
        <v>155</v>
      </c>
      <c r="B40" s="7" t="str">
        <f>'HSE Checklist'!B51</f>
        <v>Sinal de Proibição de Circulação a mais de 20 Km/h</v>
      </c>
      <c r="C40" s="7">
        <v>1</v>
      </c>
      <c r="D40" s="4" t="str">
        <f>IF('HSE Checklist'!F51&lt;&gt;"",'HSE Checklist'!F51,"")</f>
        <v/>
      </c>
      <c r="E40" s="14">
        <f t="shared" si="2"/>
        <v>9.1743119266055051E-3</v>
      </c>
      <c r="F40" s="18">
        <f t="shared" si="3"/>
        <v>9.5238095238095247E-3</v>
      </c>
      <c r="G40" s="47">
        <f>IF(D40="X",F40,IF('HSE Checklist'!D51="X",F40,-F40))</f>
        <v>9.5238095238095247E-3</v>
      </c>
      <c r="H40" s="15"/>
    </row>
    <row r="41" spans="1:8" ht="14.25" x14ac:dyDescent="0.2">
      <c r="A41" s="25" t="s">
        <v>156</v>
      </c>
      <c r="B41" s="7" t="str">
        <f>'HSE Checklist'!B52</f>
        <v>Estacionamento identificado e sinalizado</v>
      </c>
      <c r="C41" s="7">
        <v>2</v>
      </c>
      <c r="D41" s="4" t="str">
        <f>IF('HSE Checklist'!F52&lt;&gt;"",'HSE Checklist'!F52,"")</f>
        <v/>
      </c>
      <c r="E41" s="14">
        <f t="shared" si="2"/>
        <v>9.1743119266055051E-3</v>
      </c>
      <c r="F41" s="18">
        <f t="shared" si="3"/>
        <v>9.5238095238095247E-3</v>
      </c>
      <c r="G41" s="47">
        <f>IF(D41="X",F41,IF('HSE Checklist'!D52="X",F41,-F41))</f>
        <v>9.5238095238095247E-3</v>
      </c>
      <c r="H41" s="15"/>
    </row>
    <row r="42" spans="1:8" ht="14.25" x14ac:dyDescent="0.2">
      <c r="A42" s="25" t="s">
        <v>157</v>
      </c>
      <c r="B42" s="7" t="str">
        <f>'HSE Checklist'!B53</f>
        <v>Limpeza do capim pelo interior da obra</v>
      </c>
      <c r="C42" s="7">
        <v>2</v>
      </c>
      <c r="D42" s="4" t="str">
        <f>IF('HSE Checklist'!F53&lt;&gt;"",'HSE Checklist'!F53,"")</f>
        <v/>
      </c>
      <c r="E42" s="14">
        <f t="shared" si="2"/>
        <v>9.1743119266055051E-3</v>
      </c>
      <c r="F42" s="18">
        <f t="shared" si="3"/>
        <v>9.5238095238095247E-3</v>
      </c>
      <c r="G42" s="47">
        <f>IF(D42="X",F42,IF('HSE Checklist'!D53="X",F42,-F42))</f>
        <v>9.5238095238095247E-3</v>
      </c>
      <c r="H42" s="15"/>
    </row>
    <row r="43" spans="1:8" ht="14.25" x14ac:dyDescent="0.2">
      <c r="A43" s="25" t="s">
        <v>158</v>
      </c>
      <c r="B43" s="7" t="str">
        <f>'HSE Checklist'!B54</f>
        <v>Limpeza do capim pelo exterior da obra</v>
      </c>
      <c r="C43" s="7">
        <v>2</v>
      </c>
      <c r="D43" s="4" t="str">
        <f>IF('HSE Checklist'!F54&lt;&gt;"",'HSE Checklist'!F54,"")</f>
        <v/>
      </c>
      <c r="E43" s="14">
        <f t="shared" si="2"/>
        <v>9.1743119266055051E-3</v>
      </c>
      <c r="F43" s="18">
        <f t="shared" si="3"/>
        <v>9.5238095238095247E-3</v>
      </c>
      <c r="G43" s="47">
        <f>IF(D43="X",F43,IF('HSE Checklist'!D54="X",F43,-F43))</f>
        <v>9.5238095238095247E-3</v>
      </c>
      <c r="H43" s="15"/>
    </row>
    <row r="44" spans="1:8" ht="14.25" x14ac:dyDescent="0.2">
      <c r="A44" s="25" t="s">
        <v>159</v>
      </c>
      <c r="B44" s="7" t="str">
        <f>'HSE Checklist'!B55</f>
        <v>Plano de controlo de pragas aprovado e implementado</v>
      </c>
      <c r="C44" s="7">
        <v>3</v>
      </c>
      <c r="D44" s="4" t="str">
        <f>IF('HSE Checklist'!F55&lt;&gt;"",'HSE Checklist'!F55,"")</f>
        <v/>
      </c>
      <c r="E44" s="14">
        <f t="shared" si="2"/>
        <v>9.1743119266055051E-3</v>
      </c>
      <c r="F44" s="18">
        <f t="shared" si="3"/>
        <v>9.5238095238095247E-3</v>
      </c>
      <c r="G44" s="47">
        <f>IF(D44="X",F44,IF('HSE Checklist'!D55="X",F44,-F44))</f>
        <v>9.5238095238095247E-3</v>
      </c>
      <c r="H44" s="15"/>
    </row>
    <row r="45" spans="1:8" ht="14.25" x14ac:dyDescent="0.2">
      <c r="A45" s="26" t="s">
        <v>160</v>
      </c>
      <c r="B45" s="6" t="str">
        <f>'HSE Checklist'!B56</f>
        <v>Limpeza dos escritórios com respectivo registo</v>
      </c>
      <c r="C45" s="6">
        <v>1</v>
      </c>
      <c r="D45" s="4" t="str">
        <f>IF('HSE Checklist'!F56&lt;&gt;"",'HSE Checklist'!F56,"")</f>
        <v/>
      </c>
      <c r="E45" s="14">
        <f t="shared" si="2"/>
        <v>9.1743119266055051E-3</v>
      </c>
      <c r="F45" s="18">
        <f t="shared" si="3"/>
        <v>9.5238095238095247E-3</v>
      </c>
      <c r="G45" s="47">
        <f>IF(D45="X",F45,IF('HSE Checklist'!D56="X",F45,-F45))</f>
        <v>9.5238095238095247E-3</v>
      </c>
      <c r="H45" s="15"/>
    </row>
    <row r="46" spans="1:8" ht="14.25" x14ac:dyDescent="0.2">
      <c r="A46" s="26" t="s">
        <v>161</v>
      </c>
      <c r="B46" s="6" t="str">
        <f>'HSE Checklist'!B57</f>
        <v>Pára-raios</v>
      </c>
      <c r="C46" s="6">
        <v>3</v>
      </c>
      <c r="D46" s="4" t="str">
        <f>IF('HSE Checklist'!F57&lt;&gt;"",'HSE Checklist'!F57,"")</f>
        <v/>
      </c>
      <c r="E46" s="14">
        <f t="shared" si="2"/>
        <v>9.1743119266055051E-3</v>
      </c>
      <c r="F46" s="18">
        <f t="shared" si="3"/>
        <v>9.5238095238095247E-3</v>
      </c>
      <c r="G46" s="47">
        <f>IF(D46="X",F46,IF('HSE Checklist'!D57="X",F46,-F46))</f>
        <v>9.5238095238095247E-3</v>
      </c>
      <c r="H46" s="15"/>
    </row>
    <row r="47" spans="1:8" ht="14.25" x14ac:dyDescent="0.2">
      <c r="A47" s="26" t="s">
        <v>162</v>
      </c>
      <c r="B47" s="6" t="str">
        <f>'HSE Checklist'!B58</f>
        <v>Vitrina de informação de Segurança</v>
      </c>
      <c r="C47" s="6">
        <v>1</v>
      </c>
      <c r="D47" s="4" t="str">
        <f>IF('HSE Checklist'!F58&lt;&gt;"",'HSE Checklist'!F58,"")</f>
        <v/>
      </c>
      <c r="E47" s="14">
        <f t="shared" si="2"/>
        <v>9.1743119266055051E-3</v>
      </c>
      <c r="F47" s="18">
        <f t="shared" si="3"/>
        <v>9.5238095238095247E-3</v>
      </c>
      <c r="G47" s="47">
        <f>IF(D47="X",F47,IF('HSE Checklist'!D58="X",F47,-F47))</f>
        <v>9.5238095238095247E-3</v>
      </c>
      <c r="H47" s="15"/>
    </row>
    <row r="48" spans="1:8" ht="14.25" x14ac:dyDescent="0.2">
      <c r="A48" s="26" t="s">
        <v>163</v>
      </c>
      <c r="B48" s="6" t="str">
        <f>'HSE Checklist'!B59</f>
        <v>Identificação dos diferentes espaços de estaleiro (escritórios, ferramentarias, armazéns e estaleiros temporários)</v>
      </c>
      <c r="C48" s="6">
        <v>1</v>
      </c>
      <c r="D48" s="4" t="str">
        <f>IF('HSE Checklist'!F59&lt;&gt;"",'HSE Checklist'!F59,"")</f>
        <v/>
      </c>
      <c r="E48" s="14">
        <f t="shared" si="2"/>
        <v>9.1743119266055051E-3</v>
      </c>
      <c r="F48" s="18">
        <f t="shared" si="3"/>
        <v>9.5238095238095247E-3</v>
      </c>
      <c r="G48" s="47">
        <f>IF(D48="X",F48,IF('HSE Checklist'!D59="X",F48,-F48))</f>
        <v>9.5238095238095247E-3</v>
      </c>
      <c r="H48" s="15"/>
    </row>
    <row r="49" spans="1:8" ht="14.25" x14ac:dyDescent="0.2">
      <c r="A49" s="26" t="s">
        <v>164</v>
      </c>
      <c r="B49" s="6" t="str">
        <f>'HSE Checklist'!B60</f>
        <v>Análises à potabilidade da água (2 em 2 meses)</v>
      </c>
      <c r="C49" s="6">
        <v>2</v>
      </c>
      <c r="D49" s="4" t="str">
        <f>IF('HSE Checklist'!F60&lt;&gt;"",'HSE Checklist'!F60,"")</f>
        <v/>
      </c>
      <c r="E49" s="14">
        <f t="shared" si="2"/>
        <v>9.1743119266055051E-3</v>
      </c>
      <c r="F49" s="18">
        <f t="shared" si="3"/>
        <v>9.5238095238095247E-3</v>
      </c>
      <c r="G49" s="47">
        <f>IF(D49="X",F49,IF('HSE Checklist'!D60="X",F49,-F49))</f>
        <v>9.5238095238095247E-3</v>
      </c>
      <c r="H49" s="15"/>
    </row>
    <row r="50" spans="1:8" ht="14.25" x14ac:dyDescent="0.2">
      <c r="A50" s="26" t="s">
        <v>165</v>
      </c>
      <c r="B50" s="6" t="str">
        <f>'HSE Checklist'!B61</f>
        <v>Manutenção periódica do sistema de filtragem da água</v>
      </c>
      <c r="C50" s="6">
        <v>1</v>
      </c>
      <c r="D50" s="4" t="str">
        <f>IF('HSE Checklist'!F61&lt;&gt;"",'HSE Checklist'!F61,"")</f>
        <v/>
      </c>
      <c r="E50" s="14">
        <f t="shared" si="2"/>
        <v>9.1743119266055051E-3</v>
      </c>
      <c r="F50" s="18">
        <f t="shared" si="3"/>
        <v>9.5238095238095247E-3</v>
      </c>
      <c r="G50" s="47">
        <f>IF(D50="X",F50,IF('HSE Checklist'!D61="X",F50,-F50))</f>
        <v>9.5238095238095247E-3</v>
      </c>
      <c r="H50" s="15"/>
    </row>
    <row r="51" spans="1:8" ht="14.25" x14ac:dyDescent="0.2">
      <c r="A51" s="26" t="s">
        <v>166</v>
      </c>
      <c r="B51" s="6" t="str">
        <f>'HSE Checklist'!B62</f>
        <v>Sinalização da água potável</v>
      </c>
      <c r="C51" s="6">
        <v>1</v>
      </c>
      <c r="D51" s="4" t="str">
        <f>IF('HSE Checklist'!F62&lt;&gt;"",'HSE Checklist'!F62,"")</f>
        <v/>
      </c>
      <c r="E51" s="14">
        <f t="shared" si="2"/>
        <v>9.1743119266055051E-3</v>
      </c>
      <c r="F51" s="18">
        <f t="shared" si="3"/>
        <v>9.5238095238095247E-3</v>
      </c>
      <c r="G51" s="47">
        <f>IF(D51="X",F51,IF('HSE Checklist'!D62="X",F51,-F51))</f>
        <v>9.5238095238095247E-3</v>
      </c>
      <c r="H51" s="15"/>
    </row>
    <row r="52" spans="1:8" ht="14.25" x14ac:dyDescent="0.2">
      <c r="A52" s="26" t="s">
        <v>167</v>
      </c>
      <c r="B52" s="6" t="str">
        <f>'HSE Checklist'!B63</f>
        <v>Sinalização da água imprópria para consumo</v>
      </c>
      <c r="C52" s="6">
        <v>1</v>
      </c>
      <c r="D52" s="4" t="str">
        <f>IF('HSE Checklist'!F63&lt;&gt;"",'HSE Checklist'!F63,"")</f>
        <v/>
      </c>
      <c r="E52" s="14">
        <f t="shared" si="2"/>
        <v>9.1743119266055051E-3</v>
      </c>
      <c r="F52" s="18">
        <f t="shared" si="3"/>
        <v>9.5238095238095247E-3</v>
      </c>
      <c r="G52" s="47">
        <f>IF(D52="X",F52,IF('HSE Checklist'!D63="X",F52,-F52))</f>
        <v>9.5238095238095247E-3</v>
      </c>
      <c r="H52" s="15"/>
    </row>
    <row r="53" spans="1:8" ht="14.25" x14ac:dyDescent="0.2">
      <c r="A53" s="26" t="s">
        <v>168</v>
      </c>
      <c r="B53" s="6" t="str">
        <f>'HSE Checklist'!B64</f>
        <v>Zona de permissão de fumar</v>
      </c>
      <c r="C53" s="6">
        <v>1</v>
      </c>
      <c r="D53" s="4" t="str">
        <f>IF('HSE Checklist'!F64&lt;&gt;"",'HSE Checklist'!F64,"")</f>
        <v/>
      </c>
      <c r="E53" s="14">
        <f t="shared" si="2"/>
        <v>9.1743119266055051E-3</v>
      </c>
      <c r="F53" s="18">
        <f t="shared" si="3"/>
        <v>9.5238095238095247E-3</v>
      </c>
      <c r="G53" s="47">
        <f>IF(D53="X",F53,IF('HSE Checklist'!D64="X",F53,-F53))</f>
        <v>9.5238095238095247E-3</v>
      </c>
      <c r="H53" s="15"/>
    </row>
    <row r="54" spans="1:8" ht="14.25" x14ac:dyDescent="0.2">
      <c r="A54" s="26" t="s">
        <v>169</v>
      </c>
      <c r="B54" s="6" t="str">
        <f>'HSE Checklist'!B65</f>
        <v>Indicação de proibição de fumar</v>
      </c>
      <c r="C54" s="6">
        <v>1</v>
      </c>
      <c r="D54" s="4" t="str">
        <f>IF('HSE Checklist'!F65&lt;&gt;"",'HSE Checklist'!F65,"")</f>
        <v/>
      </c>
      <c r="E54" s="14">
        <f t="shared" si="2"/>
        <v>9.1743119266055051E-3</v>
      </c>
      <c r="F54" s="18">
        <f t="shared" si="3"/>
        <v>9.5238095238095247E-3</v>
      </c>
      <c r="G54" s="47">
        <f>IF(D54="X",F54,IF('HSE Checklist'!D65="X",F54,-F54))</f>
        <v>9.5238095238095247E-3</v>
      </c>
      <c r="H54" s="15"/>
    </row>
    <row r="55" spans="1:8" ht="14.25" x14ac:dyDescent="0.2">
      <c r="A55" s="26" t="s">
        <v>170</v>
      </c>
      <c r="B55" s="6" t="str">
        <f>'HSE Checklist'!B66</f>
        <v>Iluminação do estaleiro (perímetro interior e exterior)</v>
      </c>
      <c r="C55" s="6">
        <v>2</v>
      </c>
      <c r="D55" s="4" t="str">
        <f>IF('HSE Checklist'!F66&lt;&gt;"",'HSE Checklist'!F66,"")</f>
        <v/>
      </c>
      <c r="E55" s="14">
        <f t="shared" si="2"/>
        <v>9.1743119266055051E-3</v>
      </c>
      <c r="F55" s="18">
        <f t="shared" si="3"/>
        <v>9.5238095238095247E-3</v>
      </c>
      <c r="G55" s="47">
        <f>IF(D55="X",F55,IF('HSE Checklist'!D66="X",F55,-F55))</f>
        <v>9.5238095238095247E-3</v>
      </c>
      <c r="H55" s="15"/>
    </row>
    <row r="56" spans="1:8" ht="15" customHeight="1" x14ac:dyDescent="0.2">
      <c r="A56" s="26" t="s">
        <v>171</v>
      </c>
      <c r="B56" s="6" t="str">
        <f>'HSE Checklist'!B67</f>
        <v>Fichas de dados de segurança para os produtos químicos existentes em estaleiro</v>
      </c>
      <c r="C56" s="6">
        <v>1</v>
      </c>
      <c r="D56" s="4" t="str">
        <f>IF('HSE Checklist'!F67&lt;&gt;"",'HSE Checklist'!F67,"")</f>
        <v/>
      </c>
      <c r="E56" s="14">
        <f t="shared" si="2"/>
        <v>9.1743119266055051E-3</v>
      </c>
      <c r="F56" s="18">
        <f t="shared" si="3"/>
        <v>9.5238095238095247E-3</v>
      </c>
      <c r="G56" s="47">
        <f>IF(D56="X",F56,IF('HSE Checklist'!D67="X",F56,-F56))</f>
        <v>9.5238095238095247E-3</v>
      </c>
      <c r="H56" s="15"/>
    </row>
    <row r="57" spans="1:8" ht="14.25" x14ac:dyDescent="0.2">
      <c r="A57" s="26" t="s">
        <v>172</v>
      </c>
      <c r="B57" s="6" t="str">
        <f>'HSE Checklist'!B68</f>
        <v>Manutenção periódica dos aparelhos de ar condicionado</v>
      </c>
      <c r="C57" s="6">
        <v>1</v>
      </c>
      <c r="D57" s="4" t="str">
        <f>IF('HSE Checklist'!F68&lt;&gt;"",'HSE Checklist'!F68,"")</f>
        <v/>
      </c>
      <c r="E57" s="14">
        <f t="shared" si="2"/>
        <v>9.1743119266055051E-3</v>
      </c>
      <c r="F57" s="18">
        <f t="shared" si="3"/>
        <v>9.5238095238095247E-3</v>
      </c>
      <c r="G57" s="47">
        <f>IF(D57="X",F57,IF('HSE Checklist'!D68="X",F57,-F57))</f>
        <v>9.5238095238095247E-3</v>
      </c>
      <c r="H57" s="15"/>
    </row>
    <row r="58" spans="1:8" ht="14.25" x14ac:dyDescent="0.2">
      <c r="A58" s="26" t="s">
        <v>173</v>
      </c>
      <c r="B58" s="6" t="str">
        <f>'HSE Checklist'!B69</f>
        <v>Organização, identificação das prateleiras e limpeza da ferramentaria</v>
      </c>
      <c r="C58" s="6">
        <v>2</v>
      </c>
      <c r="D58" s="4" t="str">
        <f>IF('HSE Checklist'!F69&lt;&gt;"",'HSE Checklist'!F69,"")</f>
        <v/>
      </c>
      <c r="E58" s="14">
        <f t="shared" si="2"/>
        <v>9.1743119266055051E-3</v>
      </c>
      <c r="F58" s="18">
        <f t="shared" si="3"/>
        <v>9.5238095238095247E-3</v>
      </c>
      <c r="G58" s="47">
        <f>IF(D58="X",F58,IF('HSE Checklist'!D69="X",F58,-F58))</f>
        <v>9.5238095238095247E-3</v>
      </c>
      <c r="H58" s="15"/>
    </row>
    <row r="59" spans="1:8" ht="14.25" x14ac:dyDescent="0.2">
      <c r="A59" s="26" t="s">
        <v>174</v>
      </c>
      <c r="B59" s="6" t="str">
        <f>'HSE Checklist'!B70</f>
        <v>Armazenamento do aço por diâmetros</v>
      </c>
      <c r="C59" s="6">
        <v>1</v>
      </c>
      <c r="D59" s="4" t="str">
        <f>IF('HSE Checklist'!F70&lt;&gt;"",'HSE Checklist'!F70,"")</f>
        <v>X</v>
      </c>
      <c r="E59" s="14">
        <f t="shared" si="2"/>
        <v>9.1743119266055051E-3</v>
      </c>
      <c r="F59" s="18">
        <f t="shared" si="3"/>
        <v>0</v>
      </c>
      <c r="G59" s="47">
        <f>IF(D59="X",F59,IF('HSE Checklist'!D70="X",F59,-F59))</f>
        <v>0</v>
      </c>
      <c r="H59" s="15"/>
    </row>
    <row r="60" spans="1:8" ht="14.25" x14ac:dyDescent="0.2">
      <c r="A60" s="26" t="s">
        <v>175</v>
      </c>
      <c r="B60" s="6" t="str">
        <f>'HSE Checklist'!B71</f>
        <v>Cobertura do estaleiro do aço</v>
      </c>
      <c r="C60" s="6">
        <v>2</v>
      </c>
      <c r="D60" s="4" t="str">
        <f>IF('HSE Checklist'!F71&lt;&gt;"",'HSE Checklist'!F71,"")</f>
        <v>X</v>
      </c>
      <c r="E60" s="14">
        <f t="shared" si="2"/>
        <v>9.1743119266055051E-3</v>
      </c>
      <c r="F60" s="18">
        <f t="shared" si="3"/>
        <v>0</v>
      </c>
      <c r="G60" s="47">
        <f>IF(D60="X",F60,IF('HSE Checklist'!D71="X",F60,-F60))</f>
        <v>0</v>
      </c>
      <c r="H60" s="15"/>
    </row>
    <row r="61" spans="1:8" ht="14.25" x14ac:dyDescent="0.2">
      <c r="A61" s="26" t="s">
        <v>176</v>
      </c>
      <c r="B61" s="6" t="str">
        <f>'HSE Checklist'!B72</f>
        <v>Estado das máquinas de corte e dobra de aço (incluindo ligação terra)</v>
      </c>
      <c r="C61" s="6">
        <v>2</v>
      </c>
      <c r="D61" s="4" t="str">
        <f>IF('HSE Checklist'!F72&lt;&gt;"",'HSE Checklist'!F72,"")</f>
        <v>X</v>
      </c>
      <c r="E61" s="14">
        <f t="shared" si="2"/>
        <v>9.1743119266055051E-3</v>
      </c>
      <c r="F61" s="18">
        <f t="shared" si="3"/>
        <v>0</v>
      </c>
      <c r="G61" s="47">
        <f>IF(D61="X",F61,IF('HSE Checklist'!D72="X",F61,-F61))</f>
        <v>0</v>
      </c>
      <c r="H61" s="15"/>
    </row>
    <row r="62" spans="1:8" ht="14.25" x14ac:dyDescent="0.2">
      <c r="A62" s="26" t="s">
        <v>177</v>
      </c>
      <c r="B62" s="6" t="str">
        <f>'HSE Checklist'!B73</f>
        <v>Vedação e cobertura do depósito de combustível e geradores</v>
      </c>
      <c r="C62" s="6">
        <v>3</v>
      </c>
      <c r="D62" s="4" t="str">
        <f>IF('HSE Checklist'!F73&lt;&gt;"",'HSE Checklist'!F73,"")</f>
        <v/>
      </c>
      <c r="E62" s="14">
        <f t="shared" si="2"/>
        <v>9.1743119266055051E-3</v>
      </c>
      <c r="F62" s="18">
        <f t="shared" si="3"/>
        <v>9.5238095238095247E-3</v>
      </c>
      <c r="G62" s="47">
        <f>IF(D62="X",F62,IF('HSE Checklist'!D73="X",F62,-F62))</f>
        <v>9.5238095238095247E-3</v>
      </c>
      <c r="H62" s="15"/>
    </row>
    <row r="63" spans="1:8" ht="14.25" x14ac:dyDescent="0.2">
      <c r="A63" s="26" t="s">
        <v>178</v>
      </c>
      <c r="B63" s="6" t="str">
        <f>'HSE Checklist'!B75</f>
        <v>Criação das Equipas de Emergência com atribuição de autocolante respectivo (Brigadista, Socorrista e Equipas de Evacuação)</v>
      </c>
      <c r="C63" s="6">
        <v>2</v>
      </c>
      <c r="D63" s="4" t="str">
        <f>IF('HSE Checklist'!F75&lt;&gt;"",'HSE Checklist'!F75,"")</f>
        <v/>
      </c>
      <c r="E63" s="14">
        <f t="shared" si="2"/>
        <v>9.1743119266055051E-3</v>
      </c>
      <c r="F63" s="18">
        <f t="shared" si="3"/>
        <v>9.5238095238095247E-3</v>
      </c>
      <c r="G63" s="47">
        <f>IF(D63="X",F63,IF('HSE Checklist'!D75="X",F63,-F63))</f>
        <v>9.5238095238095247E-3</v>
      </c>
      <c r="H63" s="15"/>
    </row>
    <row r="64" spans="1:8" ht="14.25" x14ac:dyDescent="0.2">
      <c r="A64" s="26" t="s">
        <v>179</v>
      </c>
      <c r="B64" s="6" t="str">
        <f>'HSE Checklist'!B76</f>
        <v>Instalação de sistema de alarme eficaz</v>
      </c>
      <c r="C64" s="6">
        <v>2</v>
      </c>
      <c r="D64" s="4" t="str">
        <f>IF('HSE Checklist'!F76&lt;&gt;"",'HSE Checklist'!F76,"")</f>
        <v/>
      </c>
      <c r="E64" s="14">
        <f t="shared" si="2"/>
        <v>9.1743119266055051E-3</v>
      </c>
      <c r="F64" s="18">
        <f t="shared" si="3"/>
        <v>9.5238095238095247E-3</v>
      </c>
      <c r="G64" s="47">
        <f>IF(D64="X",F64,IF('HSE Checklist'!D76="X",F64,-F64))</f>
        <v>9.5238095238095247E-3</v>
      </c>
      <c r="H64" s="15"/>
    </row>
    <row r="65" spans="1:8" ht="14.25" x14ac:dyDescent="0.2">
      <c r="A65" s="26" t="s">
        <v>180</v>
      </c>
      <c r="B65" s="6" t="str">
        <f>'HSE Checklist'!B77</f>
        <v>Sinal de Ponto de Encontro</v>
      </c>
      <c r="C65" s="6">
        <v>1</v>
      </c>
      <c r="D65" s="4" t="str">
        <f>IF('HSE Checklist'!F77&lt;&gt;"",'HSE Checklist'!F77,"")</f>
        <v/>
      </c>
      <c r="E65" s="14">
        <f t="shared" si="2"/>
        <v>9.1743119266055051E-3</v>
      </c>
      <c r="F65" s="18">
        <f t="shared" si="3"/>
        <v>9.5238095238095247E-3</v>
      </c>
      <c r="G65" s="47">
        <f>IF(D65="X",F65,IF('HSE Checklist'!D77="X",F65,-F65))</f>
        <v>9.5238095238095247E-3</v>
      </c>
      <c r="H65" s="15"/>
    </row>
    <row r="66" spans="1:8" ht="14.25" x14ac:dyDescent="0.2">
      <c r="A66" s="26" t="s">
        <v>181</v>
      </c>
      <c r="B66" s="6" t="str">
        <f>'HSE Checklist'!B78</f>
        <v>Realização de simulacro</v>
      </c>
      <c r="C66" s="6">
        <v>3</v>
      </c>
      <c r="D66" s="4" t="str">
        <f>IF('HSE Checklist'!F78&lt;&gt;"",'HSE Checklist'!F78,"")</f>
        <v/>
      </c>
      <c r="E66" s="14">
        <f t="shared" ref="E66:E97" si="4">1/COUNTA($A$2:$A$110)</f>
        <v>9.1743119266055051E-3</v>
      </c>
      <c r="F66" s="18">
        <f t="shared" ref="F66:F97" si="5">IF(D66="X",0,1/(COUNTA($A$2:$A$110)-COUNTIF($D$2:$D$110,"X")))</f>
        <v>9.5238095238095247E-3</v>
      </c>
      <c r="G66" s="47">
        <f>IF(D66="X",F66,IF('HSE Checklist'!D78="X",F66,-F66))</f>
        <v>9.5238095238095247E-3</v>
      </c>
      <c r="H66" s="15"/>
    </row>
    <row r="67" spans="1:8" ht="14.25" x14ac:dyDescent="0.2">
      <c r="A67" s="26" t="s">
        <v>182</v>
      </c>
      <c r="B67" s="6" t="str">
        <f>'HSE Checklist'!B79</f>
        <v>Caixa de primeiros socorros – existência</v>
      </c>
      <c r="C67" s="6">
        <v>1</v>
      </c>
      <c r="D67" s="4" t="str">
        <f>IF('HSE Checklist'!F79&lt;&gt;"",'HSE Checklist'!F79,"")</f>
        <v/>
      </c>
      <c r="E67" s="14">
        <f t="shared" si="4"/>
        <v>9.1743119266055051E-3</v>
      </c>
      <c r="F67" s="18">
        <f t="shared" si="5"/>
        <v>9.5238095238095247E-3</v>
      </c>
      <c r="G67" s="47">
        <f>IF(D67="X",F67,IF('HSE Checklist'!D79="X",F67,-F67))</f>
        <v>9.5238095238095247E-3</v>
      </c>
      <c r="H67" s="15"/>
    </row>
    <row r="68" spans="1:8" ht="14.25" x14ac:dyDescent="0.2">
      <c r="A68" s="26" t="s">
        <v>183</v>
      </c>
      <c r="B68" s="6" t="str">
        <f>'HSE Checklist'!B80</f>
        <v>Extintores – existência</v>
      </c>
      <c r="C68" s="6">
        <v>1</v>
      </c>
      <c r="D68" s="4" t="str">
        <f>IF('HSE Checklist'!F80&lt;&gt;"",'HSE Checklist'!F80,"")</f>
        <v/>
      </c>
      <c r="E68" s="14">
        <f t="shared" si="4"/>
        <v>9.1743119266055051E-3</v>
      </c>
      <c r="F68" s="18">
        <f t="shared" si="5"/>
        <v>9.5238095238095247E-3</v>
      </c>
      <c r="G68" s="47">
        <f>IF(D68="X",F68,IF('HSE Checklist'!D80="X",F68,-F68))</f>
        <v>-9.5238095238095247E-3</v>
      </c>
      <c r="H68" s="15"/>
    </row>
    <row r="69" spans="1:8" ht="14.25" x14ac:dyDescent="0.2">
      <c r="A69" s="26" t="s">
        <v>184</v>
      </c>
      <c r="B69" s="6" t="str">
        <f>'HSE Checklist'!B81</f>
        <v>Existência de sinalização de emergência</v>
      </c>
      <c r="C69" s="6">
        <v>1</v>
      </c>
      <c r="D69" s="4" t="str">
        <f>IF('HSE Checklist'!F81&lt;&gt;"",'HSE Checklist'!F81,"")</f>
        <v/>
      </c>
      <c r="E69" s="14">
        <f t="shared" si="4"/>
        <v>9.1743119266055051E-3</v>
      </c>
      <c r="F69" s="18">
        <f t="shared" si="5"/>
        <v>9.5238095238095247E-3</v>
      </c>
      <c r="G69" s="47">
        <f>IF(D69="X",F69,IF('HSE Checklist'!D81="X",F69,-F69))</f>
        <v>9.5238095238095247E-3</v>
      </c>
      <c r="H69" s="15"/>
    </row>
    <row r="70" spans="1:8" ht="14.25" x14ac:dyDescent="0.2">
      <c r="A70" s="26" t="s">
        <v>185</v>
      </c>
      <c r="B70" s="6" t="str">
        <f>'HSE Checklist'!B82</f>
        <v>Existência de maca em obra</v>
      </c>
      <c r="C70" s="6">
        <v>2</v>
      </c>
      <c r="D70" s="4" t="str">
        <f>IF('HSE Checklist'!F82&lt;&gt;"",'HSE Checklist'!F82,"")</f>
        <v/>
      </c>
      <c r="E70" s="14">
        <f t="shared" si="4"/>
        <v>9.1743119266055051E-3</v>
      </c>
      <c r="F70" s="18">
        <f t="shared" si="5"/>
        <v>9.5238095238095247E-3</v>
      </c>
      <c r="G70" s="47">
        <f>IF(D70="X",F70,IF('HSE Checklist'!D82="X",F70,-F70))</f>
        <v>9.5238095238095247E-3</v>
      </c>
      <c r="H70" s="15"/>
    </row>
    <row r="71" spans="1:8" ht="14.25" x14ac:dyDescent="0.2">
      <c r="A71" s="26" t="s">
        <v>186</v>
      </c>
      <c r="B71" s="6" t="str">
        <f>'HSE Checklist'!B83</f>
        <v>Contactos de emergência afixados e visíveis</v>
      </c>
      <c r="C71" s="6">
        <v>1</v>
      </c>
      <c r="D71" s="4"/>
      <c r="E71" s="14">
        <f t="shared" si="4"/>
        <v>9.1743119266055051E-3</v>
      </c>
      <c r="F71" s="18">
        <f t="shared" si="5"/>
        <v>9.5238095238095247E-3</v>
      </c>
      <c r="G71" s="47">
        <f>IF(D71="X",F71,IF('HSE Checklist'!D83="X",F71,-F71))</f>
        <v>9.5238095238095247E-3</v>
      </c>
      <c r="H71" s="15"/>
    </row>
    <row r="72" spans="1:8" ht="14.25" x14ac:dyDescent="0.2">
      <c r="A72" s="26" t="s">
        <v>187</v>
      </c>
      <c r="B72" s="6" t="str">
        <f>'HSE Checklist'!B84</f>
        <v>Definição das clínicas e/ou hospitais para emergência</v>
      </c>
      <c r="C72" s="6">
        <v>2</v>
      </c>
      <c r="D72" s="4"/>
      <c r="E72" s="14">
        <f t="shared" si="4"/>
        <v>9.1743119266055051E-3</v>
      </c>
      <c r="F72" s="18">
        <f t="shared" si="5"/>
        <v>9.5238095238095247E-3</v>
      </c>
      <c r="G72" s="47">
        <f>IF(D72="X",F72,IF('HSE Checklist'!D84="X",F72,-F72))</f>
        <v>9.5238095238095247E-3</v>
      </c>
      <c r="H72" s="15"/>
    </row>
    <row r="73" spans="1:8" ht="14.25" x14ac:dyDescent="0.2">
      <c r="A73" s="26" t="s">
        <v>188</v>
      </c>
      <c r="B73" s="6" t="str">
        <f>'HSE Checklist'!B85</f>
        <v>Existência de viatura disponível</v>
      </c>
      <c r="C73" s="6">
        <v>2</v>
      </c>
      <c r="D73" s="4"/>
      <c r="E73" s="14">
        <f t="shared" si="4"/>
        <v>9.1743119266055051E-3</v>
      </c>
      <c r="F73" s="18">
        <f t="shared" si="5"/>
        <v>9.5238095238095247E-3</v>
      </c>
      <c r="G73" s="47">
        <f>IF(D73="X",F73,IF('HSE Checklist'!D85="X",F73,-F73))</f>
        <v>9.5238095238095247E-3</v>
      </c>
      <c r="H73" s="15"/>
    </row>
    <row r="74" spans="1:8" ht="14.25" x14ac:dyDescent="0.2">
      <c r="A74" s="26" t="s">
        <v>189</v>
      </c>
      <c r="B74" s="6" t="str">
        <f>'HSE Checklist'!B87</f>
        <v>Andaimes – inspecção inicial e semanal</v>
      </c>
      <c r="C74" s="6">
        <v>2</v>
      </c>
      <c r="D74" s="4" t="str">
        <f>IF('HSE Checklist'!F87&lt;&gt;"",'HSE Checklist'!F87,"")</f>
        <v/>
      </c>
      <c r="E74" s="14">
        <f t="shared" si="4"/>
        <v>9.1743119266055051E-3</v>
      </c>
      <c r="F74" s="18">
        <f t="shared" si="5"/>
        <v>9.5238095238095247E-3</v>
      </c>
      <c r="G74" s="47">
        <f>IF(D74="X",F74,IF('HSE Checklist'!D87="X",F74,-F74))</f>
        <v>9.5238095238095247E-3</v>
      </c>
      <c r="H74" s="15"/>
    </row>
    <row r="75" spans="1:8" ht="14.25" x14ac:dyDescent="0.2">
      <c r="A75" s="26" t="s">
        <v>190</v>
      </c>
      <c r="B75" s="6" t="str">
        <f>'HSE Checklist'!B88</f>
        <v>Caixa de primeiros socorros – inspecção inicial e mensal</v>
      </c>
      <c r="C75" s="6">
        <v>1</v>
      </c>
      <c r="D75" s="4" t="str">
        <f>IF('HSE Checklist'!F88&lt;&gt;"",'HSE Checklist'!F88,"")</f>
        <v/>
      </c>
      <c r="E75" s="14">
        <f t="shared" si="4"/>
        <v>9.1743119266055051E-3</v>
      </c>
      <c r="F75" s="18">
        <f t="shared" si="5"/>
        <v>9.5238095238095247E-3</v>
      </c>
      <c r="G75" s="47">
        <f>IF(D75="X",F75,IF('HSE Checklist'!D88="X",F75,-F75))</f>
        <v>9.5238095238095247E-3</v>
      </c>
      <c r="H75" s="15"/>
    </row>
    <row r="76" spans="1:8" ht="14.25" x14ac:dyDescent="0.2">
      <c r="A76" s="26" t="s">
        <v>191</v>
      </c>
      <c r="B76" s="6" t="str">
        <f>'HSE Checklist'!B89</f>
        <v>Extintores – inspecção inicial e mensal</v>
      </c>
      <c r="C76" s="6">
        <v>1</v>
      </c>
      <c r="D76" s="4" t="str">
        <f>IF('HSE Checklist'!F89&lt;&gt;"",'HSE Checklist'!F89,"")</f>
        <v/>
      </c>
      <c r="E76" s="14">
        <f t="shared" si="4"/>
        <v>9.1743119266055051E-3</v>
      </c>
      <c r="F76" s="18">
        <f t="shared" si="5"/>
        <v>9.5238095238095247E-3</v>
      </c>
      <c r="G76" s="47">
        <f>IF(D76="X",F76,IF('HSE Checklist'!D89="X",F76,-F76))</f>
        <v>9.5238095238095247E-3</v>
      </c>
      <c r="H76" s="15"/>
    </row>
    <row r="77" spans="1:8" ht="14.25" x14ac:dyDescent="0.2">
      <c r="A77" s="26" t="s">
        <v>192</v>
      </c>
      <c r="B77" s="6" t="str">
        <f>'HSE Checklist'!B90</f>
        <v>Quadros eléctricos – inspecção inicial e mensal</v>
      </c>
      <c r="C77" s="6">
        <v>1</v>
      </c>
      <c r="D77" s="4" t="str">
        <f>IF('HSE Checklist'!F90&lt;&gt;"",'HSE Checklist'!F90,"")</f>
        <v/>
      </c>
      <c r="E77" s="14">
        <f t="shared" si="4"/>
        <v>9.1743119266055051E-3</v>
      </c>
      <c r="F77" s="18">
        <f t="shared" si="5"/>
        <v>9.5238095238095247E-3</v>
      </c>
      <c r="G77" s="47">
        <f>IF(D77="X",F77,IF('HSE Checklist'!D90="X",F77,-F77))</f>
        <v>9.5238095238095247E-3</v>
      </c>
      <c r="H77" s="15"/>
    </row>
    <row r="78" spans="1:8" ht="14.25" x14ac:dyDescent="0.2">
      <c r="A78" s="26" t="s">
        <v>193</v>
      </c>
      <c r="B78" s="6" t="str">
        <f>'HSE Checklist'!B91</f>
        <v>Ferramentas e material eléctrico (código de cores) – inspecção inicial e mensal</v>
      </c>
      <c r="C78" s="6">
        <v>2</v>
      </c>
      <c r="D78" s="4" t="str">
        <f>IF('HSE Checklist'!F91&lt;&gt;"",'HSE Checklist'!F91,"")</f>
        <v/>
      </c>
      <c r="E78" s="14">
        <f t="shared" si="4"/>
        <v>9.1743119266055051E-3</v>
      </c>
      <c r="F78" s="18">
        <f t="shared" si="5"/>
        <v>9.5238095238095247E-3</v>
      </c>
      <c r="G78" s="47">
        <f>IF(D78="X",F78,IF('HSE Checklist'!D91="X",F78,-F78))</f>
        <v>9.5238095238095247E-3</v>
      </c>
      <c r="H78" s="15"/>
    </row>
    <row r="79" spans="1:8" ht="14.25" x14ac:dyDescent="0.2">
      <c r="A79" s="26" t="s">
        <v>194</v>
      </c>
      <c r="B79" s="6" t="str">
        <f>'HSE Checklist'!B92</f>
        <v>Verificação dos equipamentos pesados</v>
      </c>
      <c r="C79" s="6">
        <v>2</v>
      </c>
      <c r="D79" s="4" t="str">
        <f>IF('HSE Checklist'!F92&lt;&gt;"",'HSE Checklist'!F92,"")</f>
        <v/>
      </c>
      <c r="E79" s="14">
        <f t="shared" si="4"/>
        <v>9.1743119266055051E-3</v>
      </c>
      <c r="F79" s="18">
        <f t="shared" si="5"/>
        <v>9.5238095238095247E-3</v>
      </c>
      <c r="G79" s="47">
        <f>IF(D79="X",F79,IF('HSE Checklist'!D92="X",F79,-F79))</f>
        <v>9.5238095238095247E-3</v>
      </c>
      <c r="H79" s="15"/>
    </row>
    <row r="80" spans="1:8" ht="14.25" x14ac:dyDescent="0.2">
      <c r="A80" s="26" t="s">
        <v>195</v>
      </c>
      <c r="B80" s="6" t="str">
        <f>'HSE Checklist'!B94</f>
        <v>Área dos vestiários = 1,5 – (n.º de trabalhadores / 1000)</v>
      </c>
      <c r="C80" s="6">
        <v>2</v>
      </c>
      <c r="D80" s="4" t="str">
        <f>IF('HSE Checklist'!F94&lt;&gt;"",'HSE Checklist'!F94,"")</f>
        <v/>
      </c>
      <c r="E80" s="14">
        <f t="shared" si="4"/>
        <v>9.1743119266055051E-3</v>
      </c>
      <c r="F80" s="18">
        <f t="shared" si="5"/>
        <v>9.5238095238095247E-3</v>
      </c>
      <c r="G80" s="47">
        <f>IF(D80="X",F80,IF('HSE Checklist'!D94="X",F80,-F80))</f>
        <v>9.5238095238095247E-3</v>
      </c>
      <c r="H80" s="15"/>
    </row>
    <row r="81" spans="1:8" ht="14.25" x14ac:dyDescent="0.2">
      <c r="A81" s="26" t="s">
        <v>196</v>
      </c>
      <c r="B81" s="6" t="str">
        <f>'HSE Checklist'!B95</f>
        <v>Cabides e bancos corridos em número suficiente</v>
      </c>
      <c r="C81" s="6">
        <v>2</v>
      </c>
      <c r="D81" s="4" t="str">
        <f>IF('HSE Checklist'!F95&lt;&gt;"",'HSE Checklist'!F95,"")</f>
        <v/>
      </c>
      <c r="E81" s="14">
        <f t="shared" si="4"/>
        <v>9.1743119266055051E-3</v>
      </c>
      <c r="F81" s="18">
        <f t="shared" si="5"/>
        <v>9.5238095238095247E-3</v>
      </c>
      <c r="G81" s="47">
        <f>IF(D81="X",F81,IF('HSE Checklist'!D95="X",F81,-F81))</f>
        <v>9.5238095238095247E-3</v>
      </c>
      <c r="H81" s="15"/>
    </row>
    <row r="82" spans="1:8" ht="14.25" x14ac:dyDescent="0.2">
      <c r="A82" s="26" t="s">
        <v>197</v>
      </c>
      <c r="B82" s="6" t="str">
        <f>'HSE Checklist'!B96</f>
        <v>Chuveiros em número suficiente (1 por 20 trabalhadores)</v>
      </c>
      <c r="C82" s="6">
        <v>2</v>
      </c>
      <c r="D82" s="4" t="str">
        <f>IF('HSE Checklist'!F96&lt;&gt;"",'HSE Checklist'!F96,"")</f>
        <v/>
      </c>
      <c r="E82" s="14">
        <f t="shared" si="4"/>
        <v>9.1743119266055051E-3</v>
      </c>
      <c r="F82" s="18">
        <f t="shared" si="5"/>
        <v>9.5238095238095247E-3</v>
      </c>
      <c r="G82" s="47">
        <f>IF(D82="X",F82,IF('HSE Checklist'!D96="X",F82,-F82))</f>
        <v>9.5238095238095247E-3</v>
      </c>
      <c r="H82" s="15"/>
    </row>
    <row r="83" spans="1:8" ht="14.25" x14ac:dyDescent="0.2">
      <c r="A83" s="26" t="s">
        <v>198</v>
      </c>
      <c r="B83" s="6" t="str">
        <f>'HSE Checklist'!B97</f>
        <v>Sanitas em número suficiente (1 por cada 25 trabalhadores)</v>
      </c>
      <c r="C83" s="6">
        <v>2</v>
      </c>
      <c r="D83" s="4" t="str">
        <f>IF('HSE Checklist'!F97&lt;&gt;"",'HSE Checklist'!F97,"")</f>
        <v/>
      </c>
      <c r="E83" s="14">
        <f t="shared" si="4"/>
        <v>9.1743119266055051E-3</v>
      </c>
      <c r="F83" s="18">
        <f t="shared" si="5"/>
        <v>9.5238095238095247E-3</v>
      </c>
      <c r="G83" s="47">
        <f>IF(D83="X",F83,IF('HSE Checklist'!D97="X",F83,-F83))</f>
        <v>9.5238095238095247E-3</v>
      </c>
      <c r="H83" s="15"/>
    </row>
    <row r="84" spans="1:8" ht="14.25" x14ac:dyDescent="0.2">
      <c r="A84" s="26" t="s">
        <v>199</v>
      </c>
      <c r="B84" s="6" t="str">
        <f>'HSE Checklist'!B98</f>
        <v>Lavatórios em número suficiente (1 por cada 20 trabalhadores)</v>
      </c>
      <c r="C84" s="6">
        <v>2</v>
      </c>
      <c r="D84" s="4" t="str">
        <f>IF('HSE Checklist'!F98&lt;&gt;"",'HSE Checklist'!F98,"")</f>
        <v/>
      </c>
      <c r="E84" s="14">
        <f t="shared" si="4"/>
        <v>9.1743119266055051E-3</v>
      </c>
      <c r="F84" s="18">
        <f t="shared" si="5"/>
        <v>9.5238095238095247E-3</v>
      </c>
      <c r="G84" s="47">
        <f>IF(D84="X",F84,IF('HSE Checklist'!D98="X",F84,-F84))</f>
        <v>9.5238095238095247E-3</v>
      </c>
      <c r="H84" s="15"/>
    </row>
    <row r="85" spans="1:8" ht="14.25" x14ac:dyDescent="0.2">
      <c r="A85" s="26" t="s">
        <v>200</v>
      </c>
      <c r="B85" s="6" t="str">
        <f>'HSE Checklist'!B99</f>
        <v>Refeitório com capacidade para a totalidade de trabalhadores que almoçam em obra</v>
      </c>
      <c r="C85" s="6">
        <v>1</v>
      </c>
      <c r="D85" s="4" t="str">
        <f>IF('HSE Checklist'!F99&lt;&gt;"",'HSE Checklist'!F99,"")</f>
        <v/>
      </c>
      <c r="E85" s="14">
        <f t="shared" si="4"/>
        <v>9.1743119266055051E-3</v>
      </c>
      <c r="F85" s="18">
        <f t="shared" si="5"/>
        <v>9.5238095238095247E-3</v>
      </c>
      <c r="G85" s="47">
        <f>IF(D85="X",F85,IF('HSE Checklist'!D99="X",F85,-F85))</f>
        <v>9.5238095238095247E-3</v>
      </c>
      <c r="H85" s="15"/>
    </row>
    <row r="86" spans="1:8" ht="14.25" x14ac:dyDescent="0.2">
      <c r="A86" s="26" t="s">
        <v>201</v>
      </c>
      <c r="B86" s="6" t="str">
        <f>'HSE Checklist'!B100</f>
        <v>Mesas do refeitório forradas com material plástico</v>
      </c>
      <c r="C86" s="6">
        <v>1</v>
      </c>
      <c r="D86" s="4" t="str">
        <f>IF('HSE Checklist'!F100&lt;&gt;"",'HSE Checklist'!F100,"")</f>
        <v/>
      </c>
      <c r="E86" s="14">
        <f t="shared" si="4"/>
        <v>9.1743119266055051E-3</v>
      </c>
      <c r="F86" s="18">
        <f t="shared" si="5"/>
        <v>9.5238095238095247E-3</v>
      </c>
      <c r="G86" s="47">
        <f>IF(D86="X",F86,IF('HSE Checklist'!D100="X",F86,-F86))</f>
        <v>9.5238095238095247E-3</v>
      </c>
      <c r="H86" s="15"/>
    </row>
    <row r="87" spans="1:8" ht="14.25" x14ac:dyDescent="0.2">
      <c r="A87" s="26" t="s">
        <v>202</v>
      </c>
      <c r="B87" s="6" t="str">
        <f>'HSE Checklist'!B101</f>
        <v>Identificação das instalações sociais</v>
      </c>
      <c r="C87" s="6">
        <v>1</v>
      </c>
      <c r="D87" s="4" t="str">
        <f>IF('HSE Checklist'!F101&lt;&gt;"",'HSE Checklist'!F101,"")</f>
        <v/>
      </c>
      <c r="E87" s="14">
        <f t="shared" si="4"/>
        <v>9.1743119266055051E-3</v>
      </c>
      <c r="F87" s="18">
        <f t="shared" si="5"/>
        <v>9.5238095238095247E-3</v>
      </c>
      <c r="G87" s="47">
        <f>IF(D87="X",F87,IF('HSE Checklist'!D101="X",F87,-F87))</f>
        <v>9.5238095238095247E-3</v>
      </c>
      <c r="H87" s="15"/>
    </row>
    <row r="88" spans="1:8" ht="14.25" x14ac:dyDescent="0.2">
      <c r="A88" s="26" t="s">
        <v>203</v>
      </c>
      <c r="B88" s="6" t="str">
        <f>'HSE Checklist'!B102</f>
        <v>Limpeza das instalações sociais com respectivo registo</v>
      </c>
      <c r="C88" s="6">
        <v>1</v>
      </c>
      <c r="D88" s="4" t="str">
        <f>IF('HSE Checklist'!F102&lt;&gt;"",'HSE Checklist'!F102,"")</f>
        <v/>
      </c>
      <c r="E88" s="14">
        <f t="shared" si="4"/>
        <v>9.1743119266055051E-3</v>
      </c>
      <c r="F88" s="18">
        <f t="shared" si="5"/>
        <v>9.5238095238095247E-3</v>
      </c>
      <c r="G88" s="47">
        <f>IF(D88="X",F88,IF('HSE Checklist'!D102="X",F88,-F88))</f>
        <v>9.5238095238095247E-3</v>
      </c>
      <c r="H88" s="15"/>
    </row>
    <row r="89" spans="1:8" ht="14.25" x14ac:dyDescent="0.2">
      <c r="A89" s="26" t="s">
        <v>204</v>
      </c>
      <c r="B89" s="6" t="str">
        <f>'HSE Checklist'!B104</f>
        <v>Limpeza e arrumação das frentes de obra</v>
      </c>
      <c r="C89" s="6">
        <v>2</v>
      </c>
      <c r="D89" s="4" t="str">
        <f>IF('HSE Checklist'!F104&lt;&gt;"",'HSE Checklist'!F104,"")</f>
        <v/>
      </c>
      <c r="E89" s="14">
        <f t="shared" si="4"/>
        <v>9.1743119266055051E-3</v>
      </c>
      <c r="F89" s="18">
        <f t="shared" si="5"/>
        <v>9.5238095238095247E-3</v>
      </c>
      <c r="G89" s="47">
        <f>IF(D89="X",F89,IF('HSE Checklist'!D104="X",F89,-F89))</f>
        <v>9.5238095238095247E-3</v>
      </c>
      <c r="H89" s="15"/>
    </row>
    <row r="90" spans="1:8" ht="14.25" x14ac:dyDescent="0.2">
      <c r="A90" s="26" t="s">
        <v>205</v>
      </c>
      <c r="B90" s="6" t="str">
        <f>'HSE Checklist'!B105</f>
        <v>Utilização de EPIs obrigatórios</v>
      </c>
      <c r="C90" s="6">
        <v>1</v>
      </c>
      <c r="D90" s="4" t="str">
        <f>IF('HSE Checklist'!F105&lt;&gt;"",'HSE Checklist'!F105,"")</f>
        <v/>
      </c>
      <c r="E90" s="14">
        <f t="shared" si="4"/>
        <v>9.1743119266055051E-3</v>
      </c>
      <c r="F90" s="18">
        <f t="shared" si="5"/>
        <v>9.5238095238095247E-3</v>
      </c>
      <c r="G90" s="47">
        <f>IF(D90="X",F90,IF('HSE Checklist'!D105="X",F90,-F90))</f>
        <v>9.5238095238095247E-3</v>
      </c>
      <c r="H90" s="15"/>
    </row>
    <row r="91" spans="1:8" ht="14.25" x14ac:dyDescent="0.2">
      <c r="A91" s="26" t="s">
        <v>206</v>
      </c>
      <c r="B91" s="6" t="str">
        <f>'HSE Checklist'!B106</f>
        <v>Utilização de EPIs pontuais</v>
      </c>
      <c r="C91" s="6">
        <v>1</v>
      </c>
      <c r="D91" s="4" t="str">
        <f>IF('HSE Checklist'!F106&lt;&gt;"",'HSE Checklist'!F106,"")</f>
        <v/>
      </c>
      <c r="E91" s="14">
        <f t="shared" si="4"/>
        <v>9.1743119266055051E-3</v>
      </c>
      <c r="F91" s="18">
        <f t="shared" si="5"/>
        <v>9.5238095238095247E-3</v>
      </c>
      <c r="G91" s="47">
        <f>IF(D91="X",F91,IF('HSE Checklist'!D106="X",F91,-F91))</f>
        <v>9.5238095238095247E-3</v>
      </c>
      <c r="H91" s="15"/>
    </row>
    <row r="92" spans="1:8" ht="14.25" x14ac:dyDescent="0.2">
      <c r="A92" s="26" t="s">
        <v>207</v>
      </c>
      <c r="B92" s="6" t="str">
        <f>'HSE Checklist'!B107</f>
        <v>Protecção colectiva (escadas, lajes, negativos, escavações, etc)</v>
      </c>
      <c r="C92" s="6">
        <v>1</v>
      </c>
      <c r="D92" s="4" t="str">
        <f>IF('HSE Checklist'!F107&lt;&gt;"",'HSE Checklist'!F107,"")</f>
        <v/>
      </c>
      <c r="E92" s="14">
        <f t="shared" si="4"/>
        <v>9.1743119266055051E-3</v>
      </c>
      <c r="F92" s="18">
        <f t="shared" si="5"/>
        <v>9.5238095238095247E-3</v>
      </c>
      <c r="G92" s="47">
        <f>IF(D92="X",F92,IF('HSE Checklist'!D107="X",F92,-F92))</f>
        <v>9.5238095238095247E-3</v>
      </c>
      <c r="H92" s="15"/>
    </row>
    <row r="93" spans="1:8" ht="14.25" x14ac:dyDescent="0.2">
      <c r="A93" s="26" t="s">
        <v>208</v>
      </c>
      <c r="B93" s="6" t="str">
        <f>'HSE Checklist'!B108</f>
        <v>Andaimes interiores</v>
      </c>
      <c r="C93" s="6">
        <v>2</v>
      </c>
      <c r="D93" s="4" t="str">
        <f>IF('HSE Checklist'!F108&lt;&gt;"",'HSE Checklist'!F108,"")</f>
        <v/>
      </c>
      <c r="E93" s="14">
        <f t="shared" si="4"/>
        <v>9.1743119266055051E-3</v>
      </c>
      <c r="F93" s="18">
        <f t="shared" si="5"/>
        <v>9.5238095238095247E-3</v>
      </c>
      <c r="G93" s="47">
        <f>IF(D93="X",F93,IF('HSE Checklist'!D108="X",F93,-F93))</f>
        <v>9.5238095238095247E-3</v>
      </c>
      <c r="H93" s="15"/>
    </row>
    <row r="94" spans="1:8" ht="14.25" x14ac:dyDescent="0.2">
      <c r="A94" s="26" t="s">
        <v>209</v>
      </c>
      <c r="B94" s="6" t="str">
        <f>'HSE Checklist'!B109</f>
        <v>Iluminação das frentes de obra</v>
      </c>
      <c r="C94" s="6">
        <v>2</v>
      </c>
      <c r="D94" s="4" t="str">
        <f>IF('HSE Checklist'!F109&lt;&gt;"",'HSE Checklist'!F109,"")</f>
        <v/>
      </c>
      <c r="E94" s="14">
        <f t="shared" si="4"/>
        <v>9.1743119266055051E-3</v>
      </c>
      <c r="F94" s="18">
        <f t="shared" si="5"/>
        <v>9.5238095238095247E-3</v>
      </c>
      <c r="G94" s="47">
        <f>IF(D94="X",F94,IF('HSE Checklist'!D109="X",F94,-F94))</f>
        <v>9.5238095238095247E-3</v>
      </c>
      <c r="H94" s="15"/>
    </row>
    <row r="95" spans="1:8" ht="14.25" x14ac:dyDescent="0.2">
      <c r="A95" s="26" t="s">
        <v>210</v>
      </c>
      <c r="B95" s="6" t="str">
        <f>'HSE Checklist'!B110</f>
        <v>Ensaio de linha de vida</v>
      </c>
      <c r="C95" s="6">
        <v>2</v>
      </c>
      <c r="D95" s="4" t="str">
        <f>IF('HSE Checklist'!F110&lt;&gt;"",'HSE Checklist'!F110,"")</f>
        <v/>
      </c>
      <c r="E95" s="14">
        <f t="shared" si="4"/>
        <v>9.1743119266055051E-3</v>
      </c>
      <c r="F95" s="18">
        <f t="shared" si="5"/>
        <v>9.5238095238095247E-3</v>
      </c>
      <c r="G95" s="47">
        <f>IF(D95="X",F95,IF('HSE Checklist'!D110="X",F95,-F95))</f>
        <v>9.5238095238095247E-3</v>
      </c>
      <c r="H95" s="15"/>
    </row>
    <row r="96" spans="1:8" ht="14.25" x14ac:dyDescent="0.2">
      <c r="A96" s="26" t="s">
        <v>211</v>
      </c>
      <c r="B96" s="6" t="str">
        <f>'HSE Checklist'!B111</f>
        <v>Identificação das frentes de obra (estaleiros temporários, escadas, blocos, pisos, etc)</v>
      </c>
      <c r="C96" s="6">
        <v>1</v>
      </c>
      <c r="D96" s="4" t="str">
        <f>IF('HSE Checklist'!F111&lt;&gt;"",'HSE Checklist'!F111,"")</f>
        <v/>
      </c>
      <c r="E96" s="14">
        <f t="shared" si="4"/>
        <v>9.1743119266055051E-3</v>
      </c>
      <c r="F96" s="18">
        <f t="shared" si="5"/>
        <v>9.5238095238095247E-3</v>
      </c>
      <c r="G96" s="47">
        <f>IF(D96="X",F96,IF('HSE Checklist'!D111="X",F96,-F96))</f>
        <v>9.5238095238095247E-3</v>
      </c>
      <c r="H96" s="15"/>
    </row>
    <row r="97" spans="1:8" ht="14.25" x14ac:dyDescent="0.2">
      <c r="A97" s="26" t="s">
        <v>212</v>
      </c>
      <c r="B97" s="6" t="str">
        <f>'HSE Checklist'!B113</f>
        <v>Nível de separação e organização da zona de armazenamento de resíduos</v>
      </c>
      <c r="C97" s="6">
        <v>2</v>
      </c>
      <c r="D97" s="4" t="str">
        <f>IF('HSE Checklist'!F113&lt;&gt;"",'HSE Checklist'!F113,"")</f>
        <v/>
      </c>
      <c r="E97" s="14">
        <f t="shared" si="4"/>
        <v>9.1743119266055051E-3</v>
      </c>
      <c r="F97" s="18">
        <f t="shared" si="5"/>
        <v>9.5238095238095247E-3</v>
      </c>
      <c r="G97" s="47">
        <f>IF(D97="X",F97,IF('HSE Checklist'!D113="X",F97,-F97))</f>
        <v>9.5238095238095247E-3</v>
      </c>
      <c r="H97" s="15"/>
    </row>
    <row r="98" spans="1:8" ht="14.25" x14ac:dyDescent="0.2">
      <c r="A98" s="26" t="s">
        <v>213</v>
      </c>
      <c r="B98" s="6" t="str">
        <f>'HSE Checklist'!B114</f>
        <v>Existência de caixotes do lixo e limpeza atempada dos mesmos</v>
      </c>
      <c r="C98" s="6">
        <v>1</v>
      </c>
      <c r="D98" s="4" t="str">
        <f>IF('HSE Checklist'!F114&lt;&gt;"",'HSE Checklist'!F114,"")</f>
        <v/>
      </c>
      <c r="E98" s="14">
        <f t="shared" ref="E98:E107" si="6">1/COUNTA($A$2:$A$110)</f>
        <v>9.1743119266055051E-3</v>
      </c>
      <c r="F98" s="18">
        <f t="shared" ref="F98:F107" si="7">IF(D98="X",0,1/(COUNTA($A$2:$A$110)-COUNTIF($D$2:$D$110,"X")))</f>
        <v>9.5238095238095247E-3</v>
      </c>
      <c r="G98" s="47">
        <f>IF(D98="X",F98,IF('HSE Checklist'!D114="X",F98,-F98))</f>
        <v>9.5238095238095247E-3</v>
      </c>
      <c r="H98" s="15"/>
    </row>
    <row r="99" spans="1:8" ht="14.25" x14ac:dyDescent="0.2">
      <c r="A99" s="26" t="s">
        <v>214</v>
      </c>
      <c r="B99" s="6" t="str">
        <f>'HSE Checklist'!B115</f>
        <v>Monitorização de consumos ambientais</v>
      </c>
      <c r="C99" s="6">
        <v>1</v>
      </c>
      <c r="D99" s="4" t="str">
        <f>IF('HSE Checklist'!F115&lt;&gt;"",'HSE Checklist'!F115,"")</f>
        <v/>
      </c>
      <c r="E99" s="14">
        <f t="shared" si="6"/>
        <v>9.1743119266055051E-3</v>
      </c>
      <c r="F99" s="18">
        <f t="shared" si="7"/>
        <v>9.5238095238095247E-3</v>
      </c>
      <c r="G99" s="47">
        <f>IF(D99="X",F99,IF('HSE Checklist'!D115="X",F99,-F99))</f>
        <v>9.5238095238095247E-3</v>
      </c>
      <c r="H99" s="15"/>
    </row>
    <row r="100" spans="1:8" ht="14.25" x14ac:dyDescent="0.2">
      <c r="A100" s="26" t="s">
        <v>215</v>
      </c>
      <c r="B100" s="6" t="str">
        <f>'HSE Checklist'!B116</f>
        <v>Monitorização da produção de resíduos</v>
      </c>
      <c r="C100" s="6">
        <v>1</v>
      </c>
      <c r="D100" s="4" t="str">
        <f>IF('HSE Checklist'!F116&lt;&gt;"",'HSE Checklist'!F116,"")</f>
        <v/>
      </c>
      <c r="E100" s="14">
        <f t="shared" si="6"/>
        <v>9.1743119266055051E-3</v>
      </c>
      <c r="F100" s="18">
        <f t="shared" si="7"/>
        <v>9.5238095238095247E-3</v>
      </c>
      <c r="G100" s="47">
        <f>IF(D100="X",F100,IF('HSE Checklist'!D116="X",F100,-F100))</f>
        <v>9.5238095238095247E-3</v>
      </c>
      <c r="H100" s="15"/>
    </row>
    <row r="101" spans="1:8" ht="14.25" x14ac:dyDescent="0.2">
      <c r="A101" s="26" t="s">
        <v>216</v>
      </c>
      <c r="B101" s="6" t="str">
        <f>'HSE Checklist'!B117</f>
        <v>Monitorização trimestral de gases, partículas e ruído</v>
      </c>
      <c r="C101" s="6">
        <v>2</v>
      </c>
      <c r="D101" s="4" t="str">
        <f>IF('HSE Checklist'!F117&lt;&gt;"",'HSE Checklist'!F117,"")</f>
        <v/>
      </c>
      <c r="E101" s="14">
        <f t="shared" si="6"/>
        <v>9.1743119266055051E-3</v>
      </c>
      <c r="F101" s="18">
        <f t="shared" si="7"/>
        <v>9.5238095238095247E-3</v>
      </c>
      <c r="G101" s="47">
        <f>IF(D101="X",F101,IF('HSE Checklist'!D117="X",F101,-F101))</f>
        <v>9.5238095238095247E-3</v>
      </c>
      <c r="H101" s="15"/>
    </row>
    <row r="102" spans="1:8" ht="14.25" x14ac:dyDescent="0.2">
      <c r="A102" s="26" t="s">
        <v>217</v>
      </c>
      <c r="B102" s="6" t="str">
        <f>'HSE Checklist'!B118</f>
        <v>Geradores e outros equipamentos com risco de derrame com bacia de retenção</v>
      </c>
      <c r="C102" s="6">
        <v>2</v>
      </c>
      <c r="D102" s="4" t="str">
        <f>IF('HSE Checklist'!F118&lt;&gt;"",'HSE Checklist'!F118,"")</f>
        <v/>
      </c>
      <c r="E102" s="14">
        <f t="shared" si="6"/>
        <v>9.1743119266055051E-3</v>
      </c>
      <c r="F102" s="18">
        <f t="shared" si="7"/>
        <v>9.5238095238095247E-3</v>
      </c>
      <c r="G102" s="47">
        <f>IF(D102="X",F102,IF('HSE Checklist'!D118="X",F102,-F102))</f>
        <v>9.5238095238095247E-3</v>
      </c>
      <c r="H102" s="15"/>
    </row>
    <row r="103" spans="1:8" ht="15.75" x14ac:dyDescent="0.25">
      <c r="A103" s="26" t="s">
        <v>217</v>
      </c>
      <c r="B103" s="6" t="str">
        <f>'HSE Checklist'!B119</f>
        <v>Kit de contenção de derrames</v>
      </c>
      <c r="C103" s="6">
        <v>2</v>
      </c>
      <c r="D103" s="4" t="str">
        <f>IF('HSE Checklist'!F119&lt;&gt;"",'HSE Checklist'!F119,"")</f>
        <v/>
      </c>
      <c r="E103" s="14">
        <f t="shared" si="6"/>
        <v>9.1743119266055051E-3</v>
      </c>
      <c r="F103" s="18">
        <f t="shared" si="7"/>
        <v>9.5238095238095247E-3</v>
      </c>
      <c r="G103" s="47">
        <f>IF(D103="X",F103,IF('HSE Checklist'!D119="X",F103,-F103))</f>
        <v>9.5238095238095247E-3</v>
      </c>
      <c r="H103" s="17"/>
    </row>
    <row r="104" spans="1:8" ht="14.25" x14ac:dyDescent="0.2">
      <c r="A104" s="27" t="s">
        <v>218</v>
      </c>
      <c r="B104" s="8" t="str">
        <f>'HSE Checklist'!B120</f>
        <v>Existência e manutenção de lava-rodados</v>
      </c>
      <c r="C104" s="8">
        <v>3</v>
      </c>
      <c r="D104" s="4" t="str">
        <f>IF('HSE Checklist'!F120&lt;&gt;"",'HSE Checklist'!F120,"")</f>
        <v/>
      </c>
      <c r="E104" s="14">
        <f t="shared" si="6"/>
        <v>9.1743119266055051E-3</v>
      </c>
      <c r="F104" s="18">
        <f t="shared" si="7"/>
        <v>9.5238095238095247E-3</v>
      </c>
      <c r="G104" s="47">
        <f>IF(D104="X",F104,IF('HSE Checklist'!D120="X",F104,-F104))</f>
        <v>9.5238095238095247E-3</v>
      </c>
    </row>
    <row r="105" spans="1:8" ht="14.25" x14ac:dyDescent="0.2">
      <c r="A105" s="26" t="s">
        <v>219</v>
      </c>
      <c r="B105" s="8" t="str">
        <f>'HSE Checklist'!B121</f>
        <v>Existência e manutenção da bacia de lavagem dos camiões de betão</v>
      </c>
      <c r="C105" s="8">
        <v>3</v>
      </c>
      <c r="D105" s="4" t="str">
        <f>IF('HSE Checklist'!F118&lt;&gt;"",'HSE Checklist'!F118,"")</f>
        <v/>
      </c>
      <c r="E105" s="14">
        <f t="shared" si="6"/>
        <v>9.1743119266055051E-3</v>
      </c>
      <c r="F105" s="18">
        <f t="shared" si="7"/>
        <v>9.5238095238095247E-3</v>
      </c>
      <c r="G105" s="47">
        <f>IF(D105="X",F105,IF('HSE Checklist'!D121="X",F105,-F105))</f>
        <v>9.5238095238095247E-3</v>
      </c>
    </row>
    <row r="106" spans="1:8" ht="14.25" x14ac:dyDescent="0.2">
      <c r="A106" s="27" t="s">
        <v>265</v>
      </c>
      <c r="B106" s="8" t="str">
        <f>'HSE Checklist'!B122</f>
        <v>Definição de empresa de gestão de resíduos perigosos</v>
      </c>
      <c r="C106" s="8">
        <v>3</v>
      </c>
      <c r="D106" s="4" t="str">
        <f>IF('HSE Checklist'!F119&lt;&gt;"",'HSE Checklist'!F119,"")</f>
        <v/>
      </c>
      <c r="E106" s="14">
        <f t="shared" si="6"/>
        <v>9.1743119266055051E-3</v>
      </c>
      <c r="F106" s="18">
        <f t="shared" si="7"/>
        <v>9.5238095238095247E-3</v>
      </c>
      <c r="G106" s="47">
        <f>IF(D106="X",F106,IF('HSE Checklist'!D122="X",F106,-F106))</f>
        <v>9.5238095238095247E-3</v>
      </c>
    </row>
    <row r="107" spans="1:8" ht="14.25" x14ac:dyDescent="0.2">
      <c r="A107" s="26" t="s">
        <v>266</v>
      </c>
      <c r="B107" s="8" t="str">
        <f>'HSE Checklist'!B123</f>
        <v>Definição de empresa de gestão de resíduos não perigosos</v>
      </c>
      <c r="C107" s="8">
        <v>1</v>
      </c>
      <c r="D107" s="4" t="str">
        <f>IF('HSE Checklist'!F120&lt;&gt;"",'HSE Checklist'!F120,"")</f>
        <v/>
      </c>
      <c r="E107" s="14">
        <f t="shared" si="6"/>
        <v>9.1743119266055051E-3</v>
      </c>
      <c r="F107" s="18">
        <f t="shared" si="7"/>
        <v>9.5238095238095247E-3</v>
      </c>
      <c r="G107" s="47">
        <f>IF(D107="X",F107,IF('HSE Checklist'!D123="X",F107,-F107))</f>
        <v>9.5238095238095247E-3</v>
      </c>
    </row>
    <row r="108" spans="1:8" ht="14.25" x14ac:dyDescent="0.2">
      <c r="A108" s="27" t="s">
        <v>267</v>
      </c>
      <c r="B108" s="8" t="str">
        <f>'HSE Checklist'!B124</f>
        <v>Definição de empresa de gestão de águas residuais</v>
      </c>
      <c r="C108" s="8">
        <v>2</v>
      </c>
      <c r="D108" s="4" t="str">
        <f>IF('HSE Checklist'!F121&lt;&gt;"",'HSE Checklist'!F121,"")</f>
        <v/>
      </c>
      <c r="E108" s="14">
        <f t="shared" ref="E108:E110" si="8">1/COUNTA($A$2:$A$110)</f>
        <v>9.1743119266055051E-3</v>
      </c>
      <c r="F108" s="18">
        <f t="shared" ref="F108:F110" si="9">IF(D108="X",0,1/(COUNTA($A$2:$A$110)-COUNTIF($D$2:$D$110,"X")))</f>
        <v>9.5238095238095247E-3</v>
      </c>
      <c r="G108" s="47">
        <f>IF(D108="X",F108,IF('HSE Checklist'!D124="X",F108,-F108))</f>
        <v>9.5238095238095247E-3</v>
      </c>
    </row>
    <row r="109" spans="1:8" ht="14.25" x14ac:dyDescent="0.2">
      <c r="A109" s="26" t="s">
        <v>276</v>
      </c>
      <c r="B109" s="8" t="str">
        <f>'HSE Checklist'!B125</f>
        <v>Ligação à rede pública de água</v>
      </c>
      <c r="C109" s="8">
        <v>3</v>
      </c>
      <c r="D109" s="4" t="str">
        <f>IF('HSE Checklist'!F122&lt;&gt;"",'HSE Checklist'!F122,"")</f>
        <v/>
      </c>
      <c r="E109" s="14">
        <f t="shared" si="8"/>
        <v>9.1743119266055051E-3</v>
      </c>
      <c r="F109" s="18">
        <f t="shared" si="9"/>
        <v>9.5238095238095247E-3</v>
      </c>
      <c r="G109" s="47">
        <f>IF(D109="X",F109,IF('HSE Checklist'!D125="X",F109,-F109))</f>
        <v>9.5238095238095247E-3</v>
      </c>
    </row>
    <row r="110" spans="1:8" ht="14.25" x14ac:dyDescent="0.2">
      <c r="A110" s="27" t="s">
        <v>277</v>
      </c>
      <c r="B110" s="8" t="str">
        <f>'HSE Checklist'!B126</f>
        <v>Ligação à rede pública de eletricidade</v>
      </c>
      <c r="C110" s="8">
        <v>3</v>
      </c>
      <c r="D110" s="4" t="str">
        <f>IF('HSE Checklist'!F123&lt;&gt;"",'HSE Checklist'!F123,"")</f>
        <v/>
      </c>
      <c r="E110" s="14">
        <f t="shared" si="8"/>
        <v>9.1743119266055051E-3</v>
      </c>
      <c r="F110" s="18">
        <f t="shared" si="9"/>
        <v>9.5238095238095247E-3</v>
      </c>
      <c r="G110" s="47">
        <f>IF(D110="X",F110,IF('HSE Checklist'!D126="X",F110,-F110))</f>
        <v>9.5238095238095247E-3</v>
      </c>
    </row>
    <row r="111" spans="1:8" ht="15.75" x14ac:dyDescent="0.25">
      <c r="B111" s="9"/>
      <c r="C111" s="9"/>
      <c r="D111" s="9" t="s">
        <v>220</v>
      </c>
      <c r="E111" s="17">
        <f>SUM(E2:E110)</f>
        <v>0.99999999999999711</v>
      </c>
      <c r="F111" s="17">
        <f>SUM(F2:F110)</f>
        <v>0.99999999999999867</v>
      </c>
      <c r="G111" s="24">
        <f>IF(SUM(G2:G110)&gt;=0,SUM(G2:G110),0)</f>
        <v>0.98095238095237969</v>
      </c>
    </row>
    <row r="112" spans="1:8" x14ac:dyDescent="0.2">
      <c r="G112" s="48" t="str">
        <f>'HSE Checklist'!G130</f>
        <v>EXCELENTE</v>
      </c>
    </row>
  </sheetData>
  <phoneticPr fontId="21" type="noConversion"/>
  <dataValidations disablePrompts="1" count="1">
    <dataValidation type="list" allowBlank="1" showInputMessage="1" showErrorMessage="1" sqref="C2:C110" xr:uid="{7C5C466F-54CD-4371-B34C-07C639C3F153}">
      <formula1>"1,2,3"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G110"/>
  <sheetViews>
    <sheetView zoomScale="85" zoomScaleNormal="85" workbookViewId="0">
      <selection activeCell="F110" sqref="F2:F110"/>
    </sheetView>
  </sheetViews>
  <sheetFormatPr defaultColWidth="9.140625" defaultRowHeight="14.25" x14ac:dyDescent="0.2"/>
  <cols>
    <col min="1" max="1" width="11.42578125" style="64" customWidth="1"/>
    <col min="2" max="2" width="12.7109375" style="63" bestFit="1" customWidth="1"/>
    <col min="3" max="3" width="39.7109375" style="66" bestFit="1" customWidth="1"/>
    <col min="4" max="4" width="8.42578125" style="63" bestFit="1" customWidth="1"/>
    <col min="5" max="5" width="69.28515625" style="63" customWidth="1"/>
    <col min="6" max="6" width="16.28515625" style="64" bestFit="1" customWidth="1"/>
    <col min="7" max="7" width="31.7109375" style="64" bestFit="1" customWidth="1"/>
    <col min="8" max="16384" width="9.140625" style="63"/>
  </cols>
  <sheetData>
    <row r="1" spans="1:7" x14ac:dyDescent="0.2">
      <c r="A1" s="64" t="s">
        <v>221</v>
      </c>
      <c r="B1" s="63" t="s">
        <v>222</v>
      </c>
      <c r="C1" s="64" t="s">
        <v>223</v>
      </c>
      <c r="D1" s="64" t="s">
        <v>12</v>
      </c>
      <c r="E1" s="64" t="s">
        <v>224</v>
      </c>
      <c r="F1" s="61" t="s">
        <v>225</v>
      </c>
      <c r="G1" s="64" t="s">
        <v>226</v>
      </c>
    </row>
    <row r="2" spans="1:7" x14ac:dyDescent="0.2">
      <c r="A2" s="65">
        <f>Calc!$G$1</f>
        <v>45017</v>
      </c>
      <c r="B2" s="60">
        <f>'HSE Checklist'!$A$10</f>
        <v>1</v>
      </c>
      <c r="C2" s="58" t="str">
        <f>'HSE Checklist'!B10</f>
        <v>Documentação / Procedimentos de obra</v>
      </c>
      <c r="D2" s="57" t="s">
        <v>127</v>
      </c>
      <c r="E2" s="58" t="str">
        <f>'HSE Checklist'!B11</f>
        <v>Manual HSE VAMED actualizado</v>
      </c>
      <c r="F2" s="67">
        <f>VLOOKUP(D2,Calc!A2:G108,7,FALSE)</f>
        <v>9.5238095238095247E-3</v>
      </c>
      <c r="G2" s="64" t="str">
        <f>Calc!$G$112</f>
        <v>EXCELENTE</v>
      </c>
    </row>
    <row r="3" spans="1:7" x14ac:dyDescent="0.2">
      <c r="A3" s="65">
        <f>Calc!$G$1</f>
        <v>45017</v>
      </c>
      <c r="B3" s="60">
        <f>'HSE Checklist'!$A$10</f>
        <v>1</v>
      </c>
      <c r="C3" s="58" t="str">
        <f>$C$2</f>
        <v>Documentação / Procedimentos de obra</v>
      </c>
      <c r="D3" s="57" t="s">
        <v>128</v>
      </c>
      <c r="E3" s="58" t="str">
        <f>'HSE Checklist'!B12</f>
        <v>Licença de Obra (afixada)</v>
      </c>
      <c r="F3" s="67">
        <f>VLOOKUP(D3,Calc!A3:G109,7,FALSE)</f>
        <v>9.5238095238095247E-3</v>
      </c>
      <c r="G3" s="64" t="str">
        <f>Calc!$G$112</f>
        <v>EXCELENTE</v>
      </c>
    </row>
    <row r="4" spans="1:7" x14ac:dyDescent="0.2">
      <c r="A4" s="65">
        <f>Calc!$G$1</f>
        <v>45017</v>
      </c>
      <c r="B4" s="60">
        <f>'HSE Checklist'!$A$10</f>
        <v>1</v>
      </c>
      <c r="C4" s="58" t="str">
        <f t="shared" ref="C4:C33" si="0">$C$2</f>
        <v>Documentação / Procedimentos de obra</v>
      </c>
      <c r="D4" s="57" t="s">
        <v>129</v>
      </c>
      <c r="E4" s="58" t="str">
        <f>'HSE Checklist'!B13</f>
        <v>Plano de Segurança e Saúde aprovado</v>
      </c>
      <c r="F4" s="67">
        <f>VLOOKUP(D4,Calc!A4:G110,7,FALSE)</f>
        <v>9.5238095238095247E-3</v>
      </c>
      <c r="G4" s="64" t="str">
        <f>Calc!$G$112</f>
        <v>EXCELENTE</v>
      </c>
    </row>
    <row r="5" spans="1:7" x14ac:dyDescent="0.2">
      <c r="A5" s="65">
        <f>Calc!$G$1</f>
        <v>45017</v>
      </c>
      <c r="B5" s="60">
        <f>'HSE Checklist'!$A$10</f>
        <v>1</v>
      </c>
      <c r="C5" s="58" t="str">
        <f t="shared" si="0"/>
        <v>Documentação / Procedimentos de obra</v>
      </c>
      <c r="D5" s="57" t="s">
        <v>130</v>
      </c>
      <c r="E5" s="58" t="str">
        <f>'HSE Checklist'!B14</f>
        <v>Plano de Gestão Ambiental aprovado</v>
      </c>
      <c r="F5" s="67">
        <f>VLOOKUP(D5,Calc!A5:G111,7,FALSE)</f>
        <v>9.5238095238095247E-3</v>
      </c>
      <c r="G5" s="64" t="str">
        <f>Calc!$G$112</f>
        <v>EXCELENTE</v>
      </c>
    </row>
    <row r="6" spans="1:7" x14ac:dyDescent="0.2">
      <c r="A6" s="65">
        <f>Calc!$G$1</f>
        <v>45017</v>
      </c>
      <c r="B6" s="60">
        <f>'HSE Checklist'!$A$10</f>
        <v>1</v>
      </c>
      <c r="C6" s="58" t="str">
        <f t="shared" si="0"/>
        <v>Documentação / Procedimentos de obra</v>
      </c>
      <c r="D6" s="57" t="s">
        <v>131</v>
      </c>
      <c r="E6" s="58" t="str">
        <f>'HSE Checklist'!B15</f>
        <v>Plano de Gestão de Resíduos aprovado pela ANR</v>
      </c>
      <c r="F6" s="67">
        <f>VLOOKUP(D6,Calc!A6:G112,7,FALSE)</f>
        <v>9.5238095238095247E-3</v>
      </c>
      <c r="G6" s="64" t="str">
        <f>Calc!$G$112</f>
        <v>EXCELENTE</v>
      </c>
    </row>
    <row r="7" spans="1:7" x14ac:dyDescent="0.2">
      <c r="A7" s="65">
        <f>Calc!$G$1</f>
        <v>45017</v>
      </c>
      <c r="B7" s="60">
        <f>'HSE Checklist'!$A$10</f>
        <v>1</v>
      </c>
      <c r="C7" s="58" t="str">
        <f t="shared" si="0"/>
        <v>Documentação / Procedimentos de obra</v>
      </c>
      <c r="D7" s="57" t="s">
        <v>132</v>
      </c>
      <c r="E7" s="58" t="str">
        <f>'HSE Checklist'!B16</f>
        <v>Licença dos geradores</v>
      </c>
      <c r="F7" s="67">
        <f>VLOOKUP(D7,Calc!A7:G114,7,FALSE)</f>
        <v>9.5238095238095247E-3</v>
      </c>
      <c r="G7" s="64" t="str">
        <f>Calc!$G$112</f>
        <v>EXCELENTE</v>
      </c>
    </row>
    <row r="8" spans="1:7" x14ac:dyDescent="0.2">
      <c r="A8" s="65">
        <f>Calc!$G$1</f>
        <v>45017</v>
      </c>
      <c r="B8" s="60">
        <f>'HSE Checklist'!$A$10</f>
        <v>1</v>
      </c>
      <c r="C8" s="58" t="str">
        <f t="shared" si="0"/>
        <v>Documentação / Procedimentos de obra</v>
      </c>
      <c r="D8" s="57" t="s">
        <v>133</v>
      </c>
      <c r="E8" s="58" t="str">
        <f>'HSE Checklist'!B17</f>
        <v>Certificado dos Bombeiros</v>
      </c>
      <c r="F8" s="67">
        <f>VLOOKUP(D8,Calc!A8:G115,7,FALSE)</f>
        <v>9.5238095238095247E-3</v>
      </c>
      <c r="G8" s="64" t="str">
        <f>Calc!$G$112</f>
        <v>EXCELENTE</v>
      </c>
    </row>
    <row r="9" spans="1:7" x14ac:dyDescent="0.2">
      <c r="A9" s="65">
        <f>Calc!$G$1</f>
        <v>45017</v>
      </c>
      <c r="B9" s="60">
        <f>'HSE Checklist'!$A$10</f>
        <v>1</v>
      </c>
      <c r="C9" s="58" t="str">
        <f t="shared" si="0"/>
        <v>Documentação / Procedimentos de obra</v>
      </c>
      <c r="D9" s="57" t="s">
        <v>134</v>
      </c>
      <c r="E9" s="58" t="str">
        <f>'HSE Checklist'!B18</f>
        <v>Procedimentos de Segurança submetidos e aprovados para as actividades em curso</v>
      </c>
      <c r="F9" s="67">
        <f>VLOOKUP(D9,Calc!A9:G116,7,FALSE)</f>
        <v>9.5238095238095247E-3</v>
      </c>
      <c r="G9" s="64" t="str">
        <f>Calc!$G$112</f>
        <v>EXCELENTE</v>
      </c>
    </row>
    <row r="10" spans="1:7" x14ac:dyDescent="0.2">
      <c r="A10" s="65">
        <f>Calc!$G$1</f>
        <v>45017</v>
      </c>
      <c r="B10" s="60">
        <f>'HSE Checklist'!$A$10</f>
        <v>1</v>
      </c>
      <c r="C10" s="58" t="str">
        <f t="shared" si="0"/>
        <v>Documentação / Procedimentos de obra</v>
      </c>
      <c r="D10" s="57" t="s">
        <v>135</v>
      </c>
      <c r="E10" s="58" t="str">
        <f>'HSE Checklist'!B19</f>
        <v>Documentação dos trabalhadores (Documento de identificação, atestado médico, Entrega EPI, Certificado Aptidão)</v>
      </c>
      <c r="F10" s="67">
        <f>VLOOKUP(D10,Calc!A10:G117,7,FALSE)</f>
        <v>9.5238095238095247E-3</v>
      </c>
      <c r="G10" s="64" t="str">
        <f>Calc!$G$112</f>
        <v>EXCELENTE</v>
      </c>
    </row>
    <row r="11" spans="1:7" x14ac:dyDescent="0.2">
      <c r="A11" s="65">
        <f>Calc!$G$1</f>
        <v>45017</v>
      </c>
      <c r="B11" s="60">
        <f>'HSE Checklist'!$A$10</f>
        <v>1</v>
      </c>
      <c r="C11" s="58" t="str">
        <f t="shared" si="0"/>
        <v>Documentação / Procedimentos de obra</v>
      </c>
      <c r="D11" s="57" t="s">
        <v>136</v>
      </c>
      <c r="E11" s="58" t="str">
        <f>'HSE Checklist'!B20</f>
        <v>Documentação das empresas (Alvará, Seguro AT, Contribuinte e Seg. Social)</v>
      </c>
      <c r="F11" s="67">
        <f>VLOOKUP(D11,Calc!A11:G118,7,FALSE)</f>
        <v>9.5238095238095247E-3</v>
      </c>
      <c r="G11" s="64" t="str">
        <f>Calc!$G$112</f>
        <v>EXCELENTE</v>
      </c>
    </row>
    <row r="12" spans="1:7" x14ac:dyDescent="0.2">
      <c r="A12" s="65">
        <f>Calc!$G$1</f>
        <v>45017</v>
      </c>
      <c r="B12" s="60">
        <f>'HSE Checklist'!$A$10</f>
        <v>1</v>
      </c>
      <c r="C12" s="58" t="str">
        <f t="shared" si="0"/>
        <v>Documentação / Procedimentos de obra</v>
      </c>
      <c r="D12" s="57" t="s">
        <v>137</v>
      </c>
      <c r="E12" s="58" t="str">
        <f>'HSE Checklist'!B21</f>
        <v>Documentação dos equipamentos</v>
      </c>
      <c r="F12" s="67">
        <f>VLOOKUP(D12,Calc!A12:G119,7,FALSE)</f>
        <v>9.5238095238095247E-3</v>
      </c>
      <c r="G12" s="64" t="str">
        <f>Calc!$G$112</f>
        <v>EXCELENTE</v>
      </c>
    </row>
    <row r="13" spans="1:7" x14ac:dyDescent="0.2">
      <c r="A13" s="65">
        <f>Calc!$G$1</f>
        <v>45017</v>
      </c>
      <c r="B13" s="60">
        <f>'HSE Checklist'!$A$10</f>
        <v>1</v>
      </c>
      <c r="C13" s="58" t="str">
        <f t="shared" si="0"/>
        <v>Documentação / Procedimentos de obra</v>
      </c>
      <c r="D13" s="57" t="s">
        <v>138</v>
      </c>
      <c r="E13" s="58" t="str">
        <f>'HSE Checklist'!B22</f>
        <v>Indução com atribuição de autocolante</v>
      </c>
      <c r="F13" s="67">
        <f>VLOOKUP(D13,Calc!A13:G120,7,FALSE)</f>
        <v>9.5238095238095247E-3</v>
      </c>
      <c r="G13" s="64" t="str">
        <f>Calc!$G$112</f>
        <v>EXCELENTE</v>
      </c>
    </row>
    <row r="14" spans="1:7" x14ac:dyDescent="0.2">
      <c r="A14" s="65">
        <f>Calc!$G$1</f>
        <v>45017</v>
      </c>
      <c r="B14" s="60">
        <f>'HSE Checklist'!$A$10</f>
        <v>1</v>
      </c>
      <c r="C14" s="58" t="str">
        <f t="shared" si="0"/>
        <v>Documentação / Procedimentos de obra</v>
      </c>
      <c r="D14" s="57" t="s">
        <v>139</v>
      </c>
      <c r="E14" s="58" t="str">
        <f>'HSE Checklist'!B23</f>
        <v>Reunião semanal HSE implementada</v>
      </c>
      <c r="F14" s="67">
        <f>VLOOKUP(D14,Calc!A14:G121,7,FALSE)</f>
        <v>9.5238095238095247E-3</v>
      </c>
      <c r="G14" s="64" t="str">
        <f>Calc!$G$112</f>
        <v>EXCELENTE</v>
      </c>
    </row>
    <row r="15" spans="1:7" x14ac:dyDescent="0.2">
      <c r="A15" s="65">
        <f>Calc!$G$1</f>
        <v>45017</v>
      </c>
      <c r="B15" s="60">
        <f>'HSE Checklist'!$A$10</f>
        <v>1</v>
      </c>
      <c r="C15" s="58" t="str">
        <f t="shared" si="0"/>
        <v>Documentação / Procedimentos de obra</v>
      </c>
      <c r="D15" s="57" t="s">
        <v>140</v>
      </c>
      <c r="E15" s="58" t="str">
        <f>'HSE Checklist'!B24</f>
        <v>Relatório mensal implementado</v>
      </c>
      <c r="F15" s="67">
        <f>VLOOKUP(D15,Calc!A15:G122,7,FALSE)</f>
        <v>9.5238095238095247E-3</v>
      </c>
      <c r="G15" s="64" t="str">
        <f>Calc!$G$112</f>
        <v>EXCELENTE</v>
      </c>
    </row>
    <row r="16" spans="1:7" x14ac:dyDescent="0.2">
      <c r="A16" s="65">
        <f>Calc!$G$1</f>
        <v>45017</v>
      </c>
      <c r="B16" s="60">
        <f>'HSE Checklist'!$A$10</f>
        <v>1</v>
      </c>
      <c r="C16" s="58" t="str">
        <f t="shared" si="0"/>
        <v>Documentação / Procedimentos de obra</v>
      </c>
      <c r="D16" s="57" t="s">
        <v>141</v>
      </c>
      <c r="E16" s="58" t="str">
        <f>'HSE Checklist'!B25</f>
        <v>Quadro de sinistralidade</v>
      </c>
      <c r="F16" s="67">
        <f>VLOOKUP(D16,Calc!A16:G123,7,FALSE)</f>
        <v>9.5238095238095247E-3</v>
      </c>
      <c r="G16" s="64" t="str">
        <f>Calc!$G$112</f>
        <v>EXCELENTE</v>
      </c>
    </row>
    <row r="17" spans="1:7" x14ac:dyDescent="0.2">
      <c r="A17" s="65">
        <f>Calc!$G$1</f>
        <v>45017</v>
      </c>
      <c r="B17" s="60">
        <f>'HSE Checklist'!$A$10</f>
        <v>1</v>
      </c>
      <c r="C17" s="58" t="str">
        <f t="shared" si="0"/>
        <v>Documentação / Procedimentos de obra</v>
      </c>
      <c r="D17" s="57" t="s">
        <v>142</v>
      </c>
      <c r="E17" s="58" t="str">
        <f>'HSE Checklist'!B26</f>
        <v>Investigação de acidentes</v>
      </c>
      <c r="F17" s="67">
        <f>VLOOKUP(D17,Calc!A17:G124,7,FALSE)</f>
        <v>0</v>
      </c>
      <c r="G17" s="64" t="str">
        <f>Calc!$G$112</f>
        <v>EXCELENTE</v>
      </c>
    </row>
    <row r="18" spans="1:7" x14ac:dyDescent="0.2">
      <c r="A18" s="65">
        <f>Calc!$G$1</f>
        <v>45017</v>
      </c>
      <c r="B18" s="60">
        <f>'HSE Checklist'!$A$10</f>
        <v>1</v>
      </c>
      <c r="C18" s="58" t="str">
        <f t="shared" si="0"/>
        <v>Documentação / Procedimentos de obra</v>
      </c>
      <c r="D18" s="57" t="s">
        <v>143</v>
      </c>
      <c r="E18" s="58" t="str">
        <f>'HSE Checklist'!B27</f>
        <v>Relatório trimestral (INGA)</v>
      </c>
      <c r="F18" s="67">
        <f>VLOOKUP(D18,Calc!A18:G125,7,FALSE)</f>
        <v>9.5238095238095247E-3</v>
      </c>
      <c r="G18" s="64" t="str">
        <f>Calc!$G$112</f>
        <v>EXCELENTE</v>
      </c>
    </row>
    <row r="19" spans="1:7" x14ac:dyDescent="0.2">
      <c r="A19" s="65">
        <f>Calc!$G$1</f>
        <v>45017</v>
      </c>
      <c r="B19" s="60">
        <f>'HSE Checklist'!$A$10</f>
        <v>1</v>
      </c>
      <c r="C19" s="58" t="str">
        <f t="shared" si="0"/>
        <v>Documentação / Procedimentos de obra</v>
      </c>
      <c r="D19" s="57" t="s">
        <v>144</v>
      </c>
      <c r="E19" s="58" t="str">
        <f>'HSE Checklist'!B28</f>
        <v>Relatório semestral (Entidades financiadoras)</v>
      </c>
      <c r="F19" s="67">
        <f>VLOOKUP(D19,Calc!A19:G126,7,FALSE)</f>
        <v>9.5238095238095247E-3</v>
      </c>
      <c r="G19" s="64" t="str">
        <f>Calc!$G$112</f>
        <v>EXCELENTE</v>
      </c>
    </row>
    <row r="20" spans="1:7" x14ac:dyDescent="0.2">
      <c r="A20" s="65">
        <f>Calc!$G$1</f>
        <v>45017</v>
      </c>
      <c r="B20" s="60">
        <f>'HSE Checklist'!$A$10</f>
        <v>1</v>
      </c>
      <c r="C20" s="58" t="str">
        <f t="shared" si="0"/>
        <v>Documentação / Procedimentos de obra</v>
      </c>
      <c r="D20" s="57" t="s">
        <v>145</v>
      </c>
      <c r="E20" s="58" t="str">
        <f>'HSE Checklist'!B29</f>
        <v>N.º Técnicos de Segurança dos subcontratados de acordo com as regras VAMED</v>
      </c>
      <c r="F20" s="67">
        <f>VLOOKUP(D20,Calc!A20:G127,7,FALSE)</f>
        <v>9.5238095238095247E-3</v>
      </c>
      <c r="G20" s="64" t="str">
        <f>Calc!$G$112</f>
        <v>EXCELENTE</v>
      </c>
    </row>
    <row r="21" spans="1:7" x14ac:dyDescent="0.2">
      <c r="A21" s="65">
        <f>Calc!$G$1</f>
        <v>45017</v>
      </c>
      <c r="B21" s="60">
        <f>'HSE Checklist'!$A$10</f>
        <v>1</v>
      </c>
      <c r="C21" s="58" t="str">
        <f t="shared" si="0"/>
        <v>Documentação / Procedimentos de obra</v>
      </c>
      <c r="D21" s="57" t="s">
        <v>146</v>
      </c>
      <c r="E21" s="58" t="str">
        <f>'HSE Checklist'!B30</f>
        <v>Sensibilização semanal de HSE</v>
      </c>
      <c r="F21" s="67">
        <f>VLOOKUP(D21,Calc!A21:G128,7,FALSE)</f>
        <v>9.5238095238095247E-3</v>
      </c>
      <c r="G21" s="64" t="str">
        <f>Calc!$G$112</f>
        <v>EXCELENTE</v>
      </c>
    </row>
    <row r="22" spans="1:7" x14ac:dyDescent="0.2">
      <c r="A22" s="65">
        <f>Calc!$G$1</f>
        <v>45017</v>
      </c>
      <c r="B22" s="60">
        <f>'HSE Checklist'!$A$10</f>
        <v>1</v>
      </c>
      <c r="C22" s="58" t="str">
        <f t="shared" si="0"/>
        <v>Documentação / Procedimentos de obra</v>
      </c>
      <c r="D22" s="57" t="s">
        <v>147</v>
      </c>
      <c r="E22" s="58" t="str">
        <f>'HSE Checklist'!B31</f>
        <v>Realização de controlos de alcoolemia</v>
      </c>
      <c r="F22" s="67">
        <f>VLOOKUP(D22,Calc!A22:G129,7,FALSE)</f>
        <v>9.5238095238095247E-3</v>
      </c>
      <c r="G22" s="64" t="str">
        <f>Calc!$G$112</f>
        <v>EXCELENTE</v>
      </c>
    </row>
    <row r="23" spans="1:7" x14ac:dyDescent="0.2">
      <c r="A23" s="65">
        <f>Calc!$G$1</f>
        <v>45017</v>
      </c>
      <c r="B23" s="60">
        <f>'HSE Checklist'!$A$10</f>
        <v>1</v>
      </c>
      <c r="C23" s="58" t="str">
        <f t="shared" si="0"/>
        <v>Documentação / Procedimentos de obra</v>
      </c>
      <c r="D23" s="57" t="s">
        <v>148</v>
      </c>
      <c r="E23" s="58" t="str">
        <f>'HSE Checklist'!B32</f>
        <v>Licença de origem das matérias primas</v>
      </c>
      <c r="F23" s="67">
        <f>VLOOKUP(D23,Calc!A23:G130,7,FALSE)</f>
        <v>9.5238095238095247E-3</v>
      </c>
      <c r="G23" s="64" t="str">
        <f>Calc!$G$112</f>
        <v>EXCELENTE</v>
      </c>
    </row>
    <row r="24" spans="1:7" x14ac:dyDescent="0.2">
      <c r="A24" s="65">
        <f>Calc!$G$1</f>
        <v>45017</v>
      </c>
      <c r="B24" s="60">
        <f>'HSE Checklist'!$A$10</f>
        <v>1</v>
      </c>
      <c r="C24" s="58" t="str">
        <f t="shared" si="0"/>
        <v>Documentação / Procedimentos de obra</v>
      </c>
      <c r="D24" s="57" t="s">
        <v>255</v>
      </c>
      <c r="E24" s="58" t="str">
        <f>'HSE Checklist'!B33</f>
        <v>Realização de indução aos visitantes</v>
      </c>
      <c r="F24" s="67">
        <f>VLOOKUP(D24,Calc!A24:G131,7,FALSE)</f>
        <v>9.5238095238095247E-3</v>
      </c>
      <c r="G24" s="64" t="str">
        <f>Calc!$G$112</f>
        <v>EXCELENTE</v>
      </c>
    </row>
    <row r="25" spans="1:7" x14ac:dyDescent="0.2">
      <c r="A25" s="65">
        <f>Calc!$G$1</f>
        <v>45017</v>
      </c>
      <c r="B25" s="60">
        <f>'HSE Checklist'!$A$10</f>
        <v>1</v>
      </c>
      <c r="C25" s="58" t="str">
        <f t="shared" si="0"/>
        <v>Documentação / Procedimentos de obra</v>
      </c>
      <c r="D25" s="57" t="s">
        <v>256</v>
      </c>
      <c r="E25" s="58" t="str">
        <f>'HSE Checklist'!B34</f>
        <v>Formação mensal aos seguranças</v>
      </c>
      <c r="F25" s="67">
        <f>VLOOKUP(D25,Calc!A25:G132,7,FALSE)</f>
        <v>9.5238095238095247E-3</v>
      </c>
      <c r="G25" s="64" t="str">
        <f>Calc!$G$112</f>
        <v>EXCELENTE</v>
      </c>
    </row>
    <row r="26" spans="1:7" x14ac:dyDescent="0.2">
      <c r="A26" s="65">
        <f>Calc!$G$1</f>
        <v>45017</v>
      </c>
      <c r="B26" s="60">
        <f>'HSE Checklist'!$A$10</f>
        <v>1</v>
      </c>
      <c r="C26" s="58" t="str">
        <f t="shared" si="0"/>
        <v>Documentação / Procedimentos de obra</v>
      </c>
      <c r="D26" s="57" t="s">
        <v>257</v>
      </c>
      <c r="E26" s="58" t="str">
        <f>'HSE Checklist'!B35</f>
        <v>Recolha da documentação dos seguranças</v>
      </c>
      <c r="F26" s="67">
        <f>VLOOKUP(D26,Calc!A26:G133,7,FALSE)</f>
        <v>9.5238095238095247E-3</v>
      </c>
      <c r="G26" s="64" t="str">
        <f>Calc!$G$112</f>
        <v>EXCELENTE</v>
      </c>
    </row>
    <row r="27" spans="1:7" x14ac:dyDescent="0.2">
      <c r="A27" s="65">
        <f>Calc!$G$1</f>
        <v>45017</v>
      </c>
      <c r="B27" s="60">
        <f>'HSE Checklist'!$A$10</f>
        <v>1</v>
      </c>
      <c r="C27" s="58" t="str">
        <f t="shared" si="0"/>
        <v>Documentação / Procedimentos de obra</v>
      </c>
      <c r="D27" s="57" t="s">
        <v>258</v>
      </c>
      <c r="E27" s="58" t="str">
        <f>'HSE Checklist'!B36</f>
        <v>Cumprimento do SEP (Stakeholders Engagement Plan)</v>
      </c>
      <c r="F27" s="67">
        <f>VLOOKUP(D27,Calc!A27:G134,7,FALSE)</f>
        <v>9.5238095238095247E-3</v>
      </c>
      <c r="G27" s="64" t="str">
        <f>Calc!$G$112</f>
        <v>EXCELENTE</v>
      </c>
    </row>
    <row r="28" spans="1:7" x14ac:dyDescent="0.2">
      <c r="A28" s="65">
        <f>Calc!$G$1</f>
        <v>45017</v>
      </c>
      <c r="B28" s="60">
        <f>'HSE Checklist'!$A$10</f>
        <v>1</v>
      </c>
      <c r="C28" s="58" t="str">
        <f t="shared" si="0"/>
        <v>Documentação / Procedimentos de obra</v>
      </c>
      <c r="D28" s="57" t="s">
        <v>259</v>
      </c>
      <c r="E28" s="58" t="str">
        <f>'HSE Checklist'!B37</f>
        <v>Interação mensal com as comunidades</v>
      </c>
      <c r="F28" s="67">
        <f>VLOOKUP(D28,Calc!A28:G135,7,FALSE)</f>
        <v>9.5238095238095247E-3</v>
      </c>
      <c r="G28" s="64" t="str">
        <f>Calc!$G$112</f>
        <v>EXCELENTE</v>
      </c>
    </row>
    <row r="29" spans="1:7" x14ac:dyDescent="0.2">
      <c r="A29" s="65">
        <f>Calc!$G$1</f>
        <v>45017</v>
      </c>
      <c r="B29" s="60">
        <f>'HSE Checklist'!$A$10</f>
        <v>1</v>
      </c>
      <c r="C29" s="58" t="str">
        <f t="shared" si="0"/>
        <v>Documentação / Procedimentos de obra</v>
      </c>
      <c r="D29" s="57" t="s">
        <v>260</v>
      </c>
      <c r="E29" s="58" t="str">
        <f>'HSE Checklist'!B38</f>
        <v>Implementação do projeto de responsabilidade social</v>
      </c>
      <c r="F29" s="67">
        <f>VLOOKUP(D29,Calc!A29:G136,7,FALSE)</f>
        <v>9.5238095238095247E-3</v>
      </c>
      <c r="G29" s="64" t="str">
        <f>Calc!$G$112</f>
        <v>EXCELENTE</v>
      </c>
    </row>
    <row r="30" spans="1:7" x14ac:dyDescent="0.2">
      <c r="A30" s="65">
        <f>Calc!$G$1</f>
        <v>45017</v>
      </c>
      <c r="B30" s="60">
        <f>'HSE Checklist'!$A$10</f>
        <v>1</v>
      </c>
      <c r="C30" s="58" t="str">
        <f t="shared" si="0"/>
        <v>Documentação / Procedimentos de obra</v>
      </c>
      <c r="D30" s="57" t="s">
        <v>261</v>
      </c>
      <c r="E30" s="58" t="str">
        <f>'HSE Checklist'!B39</f>
        <v>Inspeção e condições de habitabilidade das bases de vida dos subcontratados</v>
      </c>
      <c r="F30" s="67">
        <f>VLOOKUP(D30,Calc!A30:G137,7,FALSE)</f>
        <v>9.5238095238095247E-3</v>
      </c>
      <c r="G30" s="64" t="str">
        <f>Calc!$G$112</f>
        <v>EXCELENTE</v>
      </c>
    </row>
    <row r="31" spans="1:7" x14ac:dyDescent="0.2">
      <c r="A31" s="65">
        <f>Calc!$G$1</f>
        <v>45017</v>
      </c>
      <c r="B31" s="60">
        <f>'HSE Checklist'!$A$10</f>
        <v>1</v>
      </c>
      <c r="C31" s="58" t="str">
        <f t="shared" si="0"/>
        <v>Documentação / Procedimentos de obra</v>
      </c>
      <c r="D31" s="57" t="s">
        <v>262</v>
      </c>
      <c r="E31" s="58" t="str">
        <f>'HSE Checklist'!B40</f>
        <v>Criação da CPAT ou definição do representante dos trabalhadores</v>
      </c>
      <c r="F31" s="67">
        <f>VLOOKUP(D31,Calc!A31:G138,7,FALSE)</f>
        <v>9.5238095238095247E-3</v>
      </c>
      <c r="G31" s="64" t="str">
        <f>Calc!$G$112</f>
        <v>EXCELENTE</v>
      </c>
    </row>
    <row r="32" spans="1:7" x14ac:dyDescent="0.2">
      <c r="A32" s="65">
        <f>Calc!$G$1</f>
        <v>45017</v>
      </c>
      <c r="B32" s="60">
        <f>'HSE Checklist'!$A$10</f>
        <v>1</v>
      </c>
      <c r="C32" s="58" t="str">
        <f t="shared" si="0"/>
        <v>Documentação / Procedimentos de obra</v>
      </c>
      <c r="D32" s="57" t="s">
        <v>263</v>
      </c>
      <c r="E32" s="58" t="str">
        <f>'HSE Checklist'!B41</f>
        <v>Reconhecimento mensal</v>
      </c>
      <c r="F32" s="67">
        <f>VLOOKUP(D32,Calc!A32:G139,7,FALSE)</f>
        <v>9.5238095238095247E-3</v>
      </c>
      <c r="G32" s="64" t="str">
        <f>Calc!$G$112</f>
        <v>EXCELENTE</v>
      </c>
    </row>
    <row r="33" spans="1:7" x14ac:dyDescent="0.2">
      <c r="A33" s="65">
        <f>Calc!$G$1</f>
        <v>45017</v>
      </c>
      <c r="B33" s="60">
        <f>'HSE Checklist'!$A$10</f>
        <v>1</v>
      </c>
      <c r="C33" s="58" t="str">
        <f t="shared" si="0"/>
        <v>Documentação / Procedimentos de obra</v>
      </c>
      <c r="D33" s="57" t="s">
        <v>264</v>
      </c>
      <c r="E33" s="58" t="str">
        <f>'HSE Checklist'!B42</f>
        <v>Plano de gestao de tráfego atualizado</v>
      </c>
      <c r="F33" s="67">
        <f>VLOOKUP(D33,Calc!A33:G140,7,FALSE)</f>
        <v>9.5238095238095247E-3</v>
      </c>
      <c r="G33" s="64" t="str">
        <f>Calc!$G$112</f>
        <v>EXCELENTE</v>
      </c>
    </row>
    <row r="34" spans="1:7" x14ac:dyDescent="0.2">
      <c r="A34" s="65">
        <f>Calc!$G$1</f>
        <v>45017</v>
      </c>
      <c r="B34" s="61">
        <f>'HSE Checklist'!$A$43</f>
        <v>2</v>
      </c>
      <c r="C34" s="58" t="str">
        <f>'HSE Checklist'!B43</f>
        <v>Plano de imagem</v>
      </c>
      <c r="D34" s="57" t="s">
        <v>149</v>
      </c>
      <c r="E34" s="58" t="str">
        <f>'HSE Checklist'!B44</f>
        <v>Placa de obra (instalação e estado de conservação)</v>
      </c>
      <c r="F34" s="67">
        <f>VLOOKUP(D34,Calc!A34:G141,7,FALSE)</f>
        <v>9.5238095238095247E-3</v>
      </c>
      <c r="G34" s="64" t="str">
        <f>Calc!$G$112</f>
        <v>EXCELENTE</v>
      </c>
    </row>
    <row r="35" spans="1:7" x14ac:dyDescent="0.2">
      <c r="A35" s="65">
        <f>Calc!$G$1</f>
        <v>45017</v>
      </c>
      <c r="B35" s="61">
        <f>'HSE Checklist'!$A$43</f>
        <v>2</v>
      </c>
      <c r="C35" s="58" t="str">
        <f>$C$34</f>
        <v>Plano de imagem</v>
      </c>
      <c r="D35" s="57" t="s">
        <v>150</v>
      </c>
      <c r="E35" s="58" t="str">
        <f>'HSE Checklist'!B45</f>
        <v>Lonas VAMED (instalação e estado de conservação)</v>
      </c>
      <c r="F35" s="67">
        <f>VLOOKUP(D35,Calc!A35:G142,7,FALSE)</f>
        <v>9.5238095238095247E-3</v>
      </c>
      <c r="G35" s="64" t="str">
        <f>Calc!$G$112</f>
        <v>EXCELENTE</v>
      </c>
    </row>
    <row r="36" spans="1:7" x14ac:dyDescent="0.2">
      <c r="A36" s="65">
        <f>Calc!$G$1</f>
        <v>45017</v>
      </c>
      <c r="B36" s="61">
        <f>'HSE Checklist'!$A$43</f>
        <v>2</v>
      </c>
      <c r="C36" s="58" t="str">
        <f t="shared" ref="C36:C38" si="1">$C$34</f>
        <v>Plano de imagem</v>
      </c>
      <c r="D36" s="57" t="s">
        <v>151</v>
      </c>
      <c r="E36" s="58" t="str">
        <f>'HSE Checklist'!B46</f>
        <v>PVC de tapume (20m em 20m – instalação e estado de conservação)</v>
      </c>
      <c r="F36" s="67">
        <f>VLOOKUP(D36,Calc!A36:G143,7,FALSE)</f>
        <v>9.5238095238095247E-3</v>
      </c>
      <c r="G36" s="64" t="str">
        <f>Calc!$G$112</f>
        <v>EXCELENTE</v>
      </c>
    </row>
    <row r="37" spans="1:7" x14ac:dyDescent="0.2">
      <c r="A37" s="65">
        <f>Calc!$G$1</f>
        <v>45017</v>
      </c>
      <c r="B37" s="61">
        <f>'HSE Checklist'!$A$43</f>
        <v>2</v>
      </c>
      <c r="C37" s="58" t="str">
        <f t="shared" si="1"/>
        <v>Plano de imagem</v>
      </c>
      <c r="D37" s="57" t="s">
        <v>152</v>
      </c>
      <c r="E37" s="58" t="str">
        <f>'HSE Checklist'!B47</f>
        <v>Mastros + bandeiras (instalação e estado de conservação)</v>
      </c>
      <c r="F37" s="67">
        <f>VLOOKUP(D37,Calc!A37:G144,7,FALSE)</f>
        <v>9.5238095238095247E-3</v>
      </c>
      <c r="G37" s="64" t="str">
        <f>Calc!$G$112</f>
        <v>EXCELENTE</v>
      </c>
    </row>
    <row r="38" spans="1:7" x14ac:dyDescent="0.2">
      <c r="A38" s="65">
        <f>Calc!$G$1</f>
        <v>45017</v>
      </c>
      <c r="B38" s="61">
        <f>'HSE Checklist'!$A$43</f>
        <v>2</v>
      </c>
      <c r="C38" s="58" t="str">
        <f t="shared" si="1"/>
        <v>Plano de imagem</v>
      </c>
      <c r="D38" s="57" t="s">
        <v>153</v>
      </c>
      <c r="E38" s="58" t="str">
        <f>'HSE Checklist'!B48</f>
        <v>Sinalização de Entrada de Obra (instalação e estado de conservação)</v>
      </c>
      <c r="F38" s="67">
        <f>VLOOKUP(D38,Calc!A38:G145,7,FALSE)</f>
        <v>9.5238095238095247E-3</v>
      </c>
      <c r="G38" s="64" t="str">
        <f>Calc!$G$112</f>
        <v>EXCELENTE</v>
      </c>
    </row>
    <row r="39" spans="1:7" x14ac:dyDescent="0.2">
      <c r="A39" s="65">
        <f>Calc!$G$1</f>
        <v>45017</v>
      </c>
      <c r="B39" s="57">
        <v>3</v>
      </c>
      <c r="C39" s="58" t="str">
        <f>'HSE Checklist'!B49</f>
        <v>Estaleiro (Geral)</v>
      </c>
      <c r="D39" s="57" t="s">
        <v>154</v>
      </c>
      <c r="E39" s="58" t="str">
        <f>'HSE Checklist'!B50</f>
        <v>Controlo de acessos implementado</v>
      </c>
      <c r="F39" s="67">
        <f>VLOOKUP(D39,Calc!A39:G146,7,FALSE)</f>
        <v>9.5238095238095247E-3</v>
      </c>
      <c r="G39" s="64" t="str">
        <f>Calc!$G$112</f>
        <v>EXCELENTE</v>
      </c>
    </row>
    <row r="40" spans="1:7" x14ac:dyDescent="0.2">
      <c r="A40" s="65">
        <f>Calc!$G$1</f>
        <v>45017</v>
      </c>
      <c r="B40" s="57">
        <v>3</v>
      </c>
      <c r="C40" s="58" t="str">
        <f>$C$39</f>
        <v>Estaleiro (Geral)</v>
      </c>
      <c r="D40" s="57" t="s">
        <v>155</v>
      </c>
      <c r="E40" s="58" t="str">
        <f>'HSE Checklist'!B51</f>
        <v>Sinal de Proibição de Circulação a mais de 20 Km/h</v>
      </c>
      <c r="F40" s="67">
        <f>VLOOKUP(D40,Calc!A40:G147,7,FALSE)</f>
        <v>9.5238095238095247E-3</v>
      </c>
      <c r="G40" s="64" t="str">
        <f>Calc!$G$112</f>
        <v>EXCELENTE</v>
      </c>
    </row>
    <row r="41" spans="1:7" x14ac:dyDescent="0.2">
      <c r="A41" s="65">
        <f>Calc!$G$1</f>
        <v>45017</v>
      </c>
      <c r="B41" s="57">
        <v>3</v>
      </c>
      <c r="C41" s="58" t="str">
        <f t="shared" ref="C41:C62" si="2">$C$39</f>
        <v>Estaleiro (Geral)</v>
      </c>
      <c r="D41" s="57" t="s">
        <v>156</v>
      </c>
      <c r="E41" s="58" t="str">
        <f>'HSE Checklist'!B52</f>
        <v>Estacionamento identificado e sinalizado</v>
      </c>
      <c r="F41" s="67">
        <f>VLOOKUP(D41,Calc!A41:G148,7,FALSE)</f>
        <v>9.5238095238095247E-3</v>
      </c>
      <c r="G41" s="64" t="str">
        <f>Calc!$G$112</f>
        <v>EXCELENTE</v>
      </c>
    </row>
    <row r="42" spans="1:7" x14ac:dyDescent="0.2">
      <c r="A42" s="65">
        <f>Calc!$G$1</f>
        <v>45017</v>
      </c>
      <c r="B42" s="57">
        <v>3</v>
      </c>
      <c r="C42" s="58" t="str">
        <f t="shared" si="2"/>
        <v>Estaleiro (Geral)</v>
      </c>
      <c r="D42" s="57" t="s">
        <v>157</v>
      </c>
      <c r="E42" s="58" t="str">
        <f>'HSE Checklist'!B53</f>
        <v>Limpeza do capim pelo interior da obra</v>
      </c>
      <c r="F42" s="67">
        <f>VLOOKUP(D42,Calc!A42:G149,7,FALSE)</f>
        <v>9.5238095238095247E-3</v>
      </c>
      <c r="G42" s="64" t="str">
        <f>Calc!$G$112</f>
        <v>EXCELENTE</v>
      </c>
    </row>
    <row r="43" spans="1:7" x14ac:dyDescent="0.2">
      <c r="A43" s="65">
        <f>Calc!$G$1</f>
        <v>45017</v>
      </c>
      <c r="B43" s="57">
        <v>3</v>
      </c>
      <c r="C43" s="58" t="str">
        <f t="shared" si="2"/>
        <v>Estaleiro (Geral)</v>
      </c>
      <c r="D43" s="57" t="s">
        <v>158</v>
      </c>
      <c r="E43" s="58" t="str">
        <f>'HSE Checklist'!B54</f>
        <v>Limpeza do capim pelo exterior da obra</v>
      </c>
      <c r="F43" s="67">
        <f>VLOOKUP(D43,Calc!A43:G150,7,FALSE)</f>
        <v>9.5238095238095247E-3</v>
      </c>
      <c r="G43" s="64" t="str">
        <f>Calc!$G$112</f>
        <v>EXCELENTE</v>
      </c>
    </row>
    <row r="44" spans="1:7" x14ac:dyDescent="0.2">
      <c r="A44" s="65">
        <f>Calc!$G$1</f>
        <v>45017</v>
      </c>
      <c r="B44" s="57">
        <v>3</v>
      </c>
      <c r="C44" s="58" t="str">
        <f t="shared" si="2"/>
        <v>Estaleiro (Geral)</v>
      </c>
      <c r="D44" s="57" t="s">
        <v>159</v>
      </c>
      <c r="E44" s="58" t="str">
        <f>'HSE Checklist'!B55</f>
        <v>Plano de controlo de pragas aprovado e implementado</v>
      </c>
      <c r="F44" s="67">
        <f>VLOOKUP(D44,Calc!A44:G151,7,FALSE)</f>
        <v>9.5238095238095247E-3</v>
      </c>
      <c r="G44" s="64" t="str">
        <f>Calc!$G$112</f>
        <v>EXCELENTE</v>
      </c>
    </row>
    <row r="45" spans="1:7" x14ac:dyDescent="0.2">
      <c r="A45" s="65">
        <f>Calc!$G$1</f>
        <v>45017</v>
      </c>
      <c r="B45" s="57">
        <v>3</v>
      </c>
      <c r="C45" s="58" t="str">
        <f t="shared" si="2"/>
        <v>Estaleiro (Geral)</v>
      </c>
      <c r="D45" s="59" t="s">
        <v>160</v>
      </c>
      <c r="E45" s="58" t="str">
        <f>'HSE Checklist'!B56</f>
        <v>Limpeza dos escritórios com respectivo registo</v>
      </c>
      <c r="F45" s="67">
        <f>VLOOKUP(D45,Calc!A45:G152,7,FALSE)</f>
        <v>9.5238095238095247E-3</v>
      </c>
      <c r="G45" s="64" t="str">
        <f>Calc!$G$112</f>
        <v>EXCELENTE</v>
      </c>
    </row>
    <row r="46" spans="1:7" x14ac:dyDescent="0.2">
      <c r="A46" s="65">
        <f>Calc!$G$1</f>
        <v>45017</v>
      </c>
      <c r="B46" s="57">
        <v>3</v>
      </c>
      <c r="C46" s="58" t="str">
        <f t="shared" si="2"/>
        <v>Estaleiro (Geral)</v>
      </c>
      <c r="D46" s="59" t="s">
        <v>161</v>
      </c>
      <c r="E46" s="58" t="str">
        <f>'HSE Checklist'!B57</f>
        <v>Pára-raios</v>
      </c>
      <c r="F46" s="67">
        <f>VLOOKUP(D46,Calc!A46:G153,7,FALSE)</f>
        <v>9.5238095238095247E-3</v>
      </c>
      <c r="G46" s="64" t="str">
        <f>Calc!$G$112</f>
        <v>EXCELENTE</v>
      </c>
    </row>
    <row r="47" spans="1:7" x14ac:dyDescent="0.2">
      <c r="A47" s="65">
        <f>Calc!$G$1</f>
        <v>45017</v>
      </c>
      <c r="B47" s="57">
        <v>3</v>
      </c>
      <c r="C47" s="58" t="str">
        <f t="shared" si="2"/>
        <v>Estaleiro (Geral)</v>
      </c>
      <c r="D47" s="59" t="s">
        <v>162</v>
      </c>
      <c r="E47" s="58" t="str">
        <f>'HSE Checklist'!B58</f>
        <v>Vitrina de informação de Segurança</v>
      </c>
      <c r="F47" s="67">
        <f>VLOOKUP(D47,Calc!A47:G154,7,FALSE)</f>
        <v>9.5238095238095247E-3</v>
      </c>
      <c r="G47" s="64" t="str">
        <f>Calc!$G$112</f>
        <v>EXCELENTE</v>
      </c>
    </row>
    <row r="48" spans="1:7" x14ac:dyDescent="0.2">
      <c r="A48" s="65">
        <f>Calc!$G$1</f>
        <v>45017</v>
      </c>
      <c r="B48" s="57">
        <v>3</v>
      </c>
      <c r="C48" s="58" t="str">
        <f t="shared" si="2"/>
        <v>Estaleiro (Geral)</v>
      </c>
      <c r="D48" s="59" t="s">
        <v>163</v>
      </c>
      <c r="E48" s="58" t="str">
        <f>'HSE Checklist'!B59</f>
        <v>Identificação dos diferentes espaços de estaleiro (escritórios, ferramentarias, armazéns e estaleiros temporários)</v>
      </c>
      <c r="F48" s="67">
        <f>VLOOKUP(D48,Calc!A48:G155,7,FALSE)</f>
        <v>9.5238095238095247E-3</v>
      </c>
      <c r="G48" s="64" t="str">
        <f>Calc!$G$112</f>
        <v>EXCELENTE</v>
      </c>
    </row>
    <row r="49" spans="1:7" x14ac:dyDescent="0.2">
      <c r="A49" s="65">
        <f>Calc!$G$1</f>
        <v>45017</v>
      </c>
      <c r="B49" s="57">
        <v>3</v>
      </c>
      <c r="C49" s="58" t="str">
        <f t="shared" si="2"/>
        <v>Estaleiro (Geral)</v>
      </c>
      <c r="D49" s="59" t="s">
        <v>164</v>
      </c>
      <c r="E49" s="58" t="str">
        <f>'HSE Checklist'!B60</f>
        <v>Análises à potabilidade da água (2 em 2 meses)</v>
      </c>
      <c r="F49" s="67">
        <f>VLOOKUP(D49,Calc!A49:G156,7,FALSE)</f>
        <v>9.5238095238095247E-3</v>
      </c>
      <c r="G49" s="64" t="str">
        <f>Calc!$G$112</f>
        <v>EXCELENTE</v>
      </c>
    </row>
    <row r="50" spans="1:7" x14ac:dyDescent="0.2">
      <c r="A50" s="65">
        <f>Calc!$G$1</f>
        <v>45017</v>
      </c>
      <c r="B50" s="57">
        <v>3</v>
      </c>
      <c r="C50" s="58" t="str">
        <f t="shared" si="2"/>
        <v>Estaleiro (Geral)</v>
      </c>
      <c r="D50" s="59" t="s">
        <v>165</v>
      </c>
      <c r="E50" s="58" t="str">
        <f>'HSE Checklist'!B61</f>
        <v>Manutenção periódica do sistema de filtragem da água</v>
      </c>
      <c r="F50" s="67">
        <f>VLOOKUP(D50,Calc!A50:G157,7,FALSE)</f>
        <v>9.5238095238095247E-3</v>
      </c>
      <c r="G50" s="64" t="str">
        <f>Calc!$G$112</f>
        <v>EXCELENTE</v>
      </c>
    </row>
    <row r="51" spans="1:7" x14ac:dyDescent="0.2">
      <c r="A51" s="65">
        <f>Calc!$G$1</f>
        <v>45017</v>
      </c>
      <c r="B51" s="57">
        <v>3</v>
      </c>
      <c r="C51" s="58" t="str">
        <f t="shared" si="2"/>
        <v>Estaleiro (Geral)</v>
      </c>
      <c r="D51" s="59" t="s">
        <v>166</v>
      </c>
      <c r="E51" s="58" t="str">
        <f>'HSE Checklist'!B62</f>
        <v>Sinalização da água potável</v>
      </c>
      <c r="F51" s="67">
        <f>VLOOKUP(D51,Calc!A51:G158,7,FALSE)</f>
        <v>9.5238095238095247E-3</v>
      </c>
      <c r="G51" s="64" t="str">
        <f>Calc!$G$112</f>
        <v>EXCELENTE</v>
      </c>
    </row>
    <row r="52" spans="1:7" x14ac:dyDescent="0.2">
      <c r="A52" s="65">
        <f>Calc!$G$1</f>
        <v>45017</v>
      </c>
      <c r="B52" s="57">
        <v>3</v>
      </c>
      <c r="C52" s="58" t="str">
        <f t="shared" si="2"/>
        <v>Estaleiro (Geral)</v>
      </c>
      <c r="D52" s="59" t="s">
        <v>167</v>
      </c>
      <c r="E52" s="58" t="str">
        <f>'HSE Checklist'!B63</f>
        <v>Sinalização da água imprópria para consumo</v>
      </c>
      <c r="F52" s="67">
        <f>VLOOKUP(D52,Calc!A52:G159,7,FALSE)</f>
        <v>9.5238095238095247E-3</v>
      </c>
      <c r="G52" s="64" t="str">
        <f>Calc!$G$112</f>
        <v>EXCELENTE</v>
      </c>
    </row>
    <row r="53" spans="1:7" x14ac:dyDescent="0.2">
      <c r="A53" s="65">
        <f>Calc!$G$1</f>
        <v>45017</v>
      </c>
      <c r="B53" s="57">
        <v>3</v>
      </c>
      <c r="C53" s="58" t="str">
        <f t="shared" si="2"/>
        <v>Estaleiro (Geral)</v>
      </c>
      <c r="D53" s="59" t="s">
        <v>168</v>
      </c>
      <c r="E53" s="58" t="str">
        <f>'HSE Checklist'!B64</f>
        <v>Zona de permissão de fumar</v>
      </c>
      <c r="F53" s="67">
        <f>VLOOKUP(D53,Calc!A53:G160,7,FALSE)</f>
        <v>9.5238095238095247E-3</v>
      </c>
      <c r="G53" s="64" t="str">
        <f>Calc!$G$112</f>
        <v>EXCELENTE</v>
      </c>
    </row>
    <row r="54" spans="1:7" x14ac:dyDescent="0.2">
      <c r="A54" s="65">
        <f>Calc!$G$1</f>
        <v>45017</v>
      </c>
      <c r="B54" s="57">
        <v>3</v>
      </c>
      <c r="C54" s="58" t="str">
        <f t="shared" si="2"/>
        <v>Estaleiro (Geral)</v>
      </c>
      <c r="D54" s="59" t="s">
        <v>169</v>
      </c>
      <c r="E54" s="58" t="str">
        <f>'HSE Checklist'!B65</f>
        <v>Indicação de proibição de fumar</v>
      </c>
      <c r="F54" s="67">
        <f>VLOOKUP(D54,Calc!A54:G161,7,FALSE)</f>
        <v>9.5238095238095247E-3</v>
      </c>
      <c r="G54" s="64" t="str">
        <f>Calc!$G$112</f>
        <v>EXCELENTE</v>
      </c>
    </row>
    <row r="55" spans="1:7" x14ac:dyDescent="0.2">
      <c r="A55" s="65">
        <f>Calc!$G$1</f>
        <v>45017</v>
      </c>
      <c r="B55" s="57">
        <v>3</v>
      </c>
      <c r="C55" s="58" t="str">
        <f t="shared" si="2"/>
        <v>Estaleiro (Geral)</v>
      </c>
      <c r="D55" s="59" t="s">
        <v>170</v>
      </c>
      <c r="E55" s="58" t="str">
        <f>'HSE Checklist'!B66</f>
        <v>Iluminação do estaleiro (perímetro interior e exterior)</v>
      </c>
      <c r="F55" s="67">
        <f>VLOOKUP(D55,Calc!A55:G162,7,FALSE)</f>
        <v>9.5238095238095247E-3</v>
      </c>
      <c r="G55" s="64" t="str">
        <f>Calc!$G$112</f>
        <v>EXCELENTE</v>
      </c>
    </row>
    <row r="56" spans="1:7" x14ac:dyDescent="0.2">
      <c r="A56" s="65">
        <f>Calc!$G$1</f>
        <v>45017</v>
      </c>
      <c r="B56" s="57">
        <v>3</v>
      </c>
      <c r="C56" s="58" t="str">
        <f t="shared" si="2"/>
        <v>Estaleiro (Geral)</v>
      </c>
      <c r="D56" s="59" t="s">
        <v>171</v>
      </c>
      <c r="E56" s="58" t="str">
        <f>'HSE Checklist'!B67</f>
        <v>Fichas de dados de segurança para os produtos químicos existentes em estaleiro</v>
      </c>
      <c r="F56" s="67">
        <f>VLOOKUP(D56,Calc!A56:G163,7,FALSE)</f>
        <v>9.5238095238095247E-3</v>
      </c>
      <c r="G56" s="64" t="str">
        <f>Calc!$G$112</f>
        <v>EXCELENTE</v>
      </c>
    </row>
    <row r="57" spans="1:7" x14ac:dyDescent="0.2">
      <c r="A57" s="65">
        <f>Calc!$G$1</f>
        <v>45017</v>
      </c>
      <c r="B57" s="57">
        <v>3</v>
      </c>
      <c r="C57" s="58" t="str">
        <f t="shared" si="2"/>
        <v>Estaleiro (Geral)</v>
      </c>
      <c r="D57" s="59" t="s">
        <v>172</v>
      </c>
      <c r="E57" s="58" t="str">
        <f>'HSE Checklist'!B68</f>
        <v>Manutenção periódica dos aparelhos de ar condicionado</v>
      </c>
      <c r="F57" s="67">
        <f>VLOOKUP(D57,Calc!A57:G164,7,FALSE)</f>
        <v>9.5238095238095247E-3</v>
      </c>
      <c r="G57" s="64" t="str">
        <f>Calc!$G$112</f>
        <v>EXCELENTE</v>
      </c>
    </row>
    <row r="58" spans="1:7" x14ac:dyDescent="0.2">
      <c r="A58" s="65">
        <f>Calc!$G$1</f>
        <v>45017</v>
      </c>
      <c r="B58" s="57">
        <v>3</v>
      </c>
      <c r="C58" s="58" t="str">
        <f t="shared" si="2"/>
        <v>Estaleiro (Geral)</v>
      </c>
      <c r="D58" s="59" t="s">
        <v>173</v>
      </c>
      <c r="E58" s="58" t="str">
        <f>'HSE Checklist'!B69</f>
        <v>Organização, identificação das prateleiras e limpeza da ferramentaria</v>
      </c>
      <c r="F58" s="67">
        <f>VLOOKUP(D58,Calc!A58:G165,7,FALSE)</f>
        <v>9.5238095238095247E-3</v>
      </c>
      <c r="G58" s="64" t="str">
        <f>Calc!$G$112</f>
        <v>EXCELENTE</v>
      </c>
    </row>
    <row r="59" spans="1:7" x14ac:dyDescent="0.2">
      <c r="A59" s="65">
        <f>Calc!$G$1</f>
        <v>45017</v>
      </c>
      <c r="B59" s="57">
        <v>3</v>
      </c>
      <c r="C59" s="58" t="str">
        <f t="shared" si="2"/>
        <v>Estaleiro (Geral)</v>
      </c>
      <c r="D59" s="59" t="s">
        <v>174</v>
      </c>
      <c r="E59" s="58" t="str">
        <f>'HSE Checklist'!B70</f>
        <v>Armazenamento do aço por diâmetros</v>
      </c>
      <c r="F59" s="67">
        <f>VLOOKUP(D59,Calc!A59:G166,7,FALSE)</f>
        <v>0</v>
      </c>
      <c r="G59" s="64" t="str">
        <f>Calc!$G$112</f>
        <v>EXCELENTE</v>
      </c>
    </row>
    <row r="60" spans="1:7" x14ac:dyDescent="0.2">
      <c r="A60" s="65">
        <f>Calc!$G$1</f>
        <v>45017</v>
      </c>
      <c r="B60" s="57">
        <v>3</v>
      </c>
      <c r="C60" s="58" t="str">
        <f t="shared" si="2"/>
        <v>Estaleiro (Geral)</v>
      </c>
      <c r="D60" s="59" t="s">
        <v>175</v>
      </c>
      <c r="E60" s="58" t="str">
        <f>'HSE Checklist'!B71</f>
        <v>Cobertura do estaleiro do aço</v>
      </c>
      <c r="F60" s="67">
        <f>VLOOKUP(D60,Calc!A60:G167,7,FALSE)</f>
        <v>0</v>
      </c>
      <c r="G60" s="64" t="str">
        <f>Calc!$G$112</f>
        <v>EXCELENTE</v>
      </c>
    </row>
    <row r="61" spans="1:7" x14ac:dyDescent="0.2">
      <c r="A61" s="65">
        <f>Calc!$G$1</f>
        <v>45017</v>
      </c>
      <c r="B61" s="57">
        <v>3</v>
      </c>
      <c r="C61" s="58" t="str">
        <f t="shared" si="2"/>
        <v>Estaleiro (Geral)</v>
      </c>
      <c r="D61" s="59" t="s">
        <v>176</v>
      </c>
      <c r="E61" s="58" t="str">
        <f>'HSE Checklist'!B72</f>
        <v>Estado das máquinas de corte e dobra de aço (incluindo ligação terra)</v>
      </c>
      <c r="F61" s="67">
        <f>VLOOKUP(D61,Calc!A61:G168,7,FALSE)</f>
        <v>0</v>
      </c>
      <c r="G61" s="64" t="str">
        <f>Calc!$G$112</f>
        <v>EXCELENTE</v>
      </c>
    </row>
    <row r="62" spans="1:7" x14ac:dyDescent="0.2">
      <c r="A62" s="65">
        <f>Calc!$G$1</f>
        <v>45017</v>
      </c>
      <c r="B62" s="57">
        <v>3</v>
      </c>
      <c r="C62" s="58" t="str">
        <f t="shared" si="2"/>
        <v>Estaleiro (Geral)</v>
      </c>
      <c r="D62" s="59" t="s">
        <v>177</v>
      </c>
      <c r="E62" s="58" t="str">
        <f>'HSE Checklist'!B73</f>
        <v>Vedação e cobertura do depósito de combustível e geradores</v>
      </c>
      <c r="F62" s="67">
        <f>VLOOKUP(D62,Calc!A62:G169,7,FALSE)</f>
        <v>9.5238095238095247E-3</v>
      </c>
      <c r="G62" s="64" t="str">
        <f>Calc!$G$112</f>
        <v>EXCELENTE</v>
      </c>
    </row>
    <row r="63" spans="1:7" x14ac:dyDescent="0.2">
      <c r="A63" s="65">
        <f>Calc!$G$1</f>
        <v>45017</v>
      </c>
      <c r="B63" s="59">
        <v>4</v>
      </c>
      <c r="C63" s="62" t="str">
        <f>'HSE Checklist'!B74</f>
        <v>Emergência</v>
      </c>
      <c r="D63" s="59" t="s">
        <v>178</v>
      </c>
      <c r="E63" s="58" t="str">
        <f>'HSE Checklist'!B75</f>
        <v>Criação das Equipas de Emergência com atribuição de autocolante respectivo (Brigadista, Socorrista e Equipas de Evacuação)</v>
      </c>
      <c r="F63" s="67">
        <f>VLOOKUP(D63,Calc!A63:G170,7,FALSE)</f>
        <v>9.5238095238095247E-3</v>
      </c>
      <c r="G63" s="64" t="str">
        <f>Calc!$G$112</f>
        <v>EXCELENTE</v>
      </c>
    </row>
    <row r="64" spans="1:7" x14ac:dyDescent="0.2">
      <c r="A64" s="65">
        <f>Calc!$G$1</f>
        <v>45017</v>
      </c>
      <c r="B64" s="59">
        <v>4</v>
      </c>
      <c r="C64" s="62" t="str">
        <f>$C$63</f>
        <v>Emergência</v>
      </c>
      <c r="D64" s="59" t="s">
        <v>179</v>
      </c>
      <c r="E64" s="58" t="str">
        <f>'HSE Checklist'!B76</f>
        <v>Instalação de sistema de alarme eficaz</v>
      </c>
      <c r="F64" s="67">
        <f>VLOOKUP(D64,Calc!A64:G171,7,FALSE)</f>
        <v>9.5238095238095247E-3</v>
      </c>
      <c r="G64" s="64" t="str">
        <f>Calc!$G$112</f>
        <v>EXCELENTE</v>
      </c>
    </row>
    <row r="65" spans="1:7" x14ac:dyDescent="0.2">
      <c r="A65" s="65">
        <f>Calc!$G$1</f>
        <v>45017</v>
      </c>
      <c r="B65" s="59">
        <v>4</v>
      </c>
      <c r="C65" s="62" t="str">
        <f t="shared" ref="C65:C73" si="3">$C$63</f>
        <v>Emergência</v>
      </c>
      <c r="D65" s="59" t="s">
        <v>180</v>
      </c>
      <c r="E65" s="58" t="str">
        <f>'HSE Checklist'!B77</f>
        <v>Sinal de Ponto de Encontro</v>
      </c>
      <c r="F65" s="67">
        <f>VLOOKUP(D65,Calc!A65:G172,7,FALSE)</f>
        <v>9.5238095238095247E-3</v>
      </c>
      <c r="G65" s="64" t="str">
        <f>Calc!$G$112</f>
        <v>EXCELENTE</v>
      </c>
    </row>
    <row r="66" spans="1:7" x14ac:dyDescent="0.2">
      <c r="A66" s="65">
        <f>Calc!$G$1</f>
        <v>45017</v>
      </c>
      <c r="B66" s="59">
        <v>4</v>
      </c>
      <c r="C66" s="62" t="str">
        <f t="shared" si="3"/>
        <v>Emergência</v>
      </c>
      <c r="D66" s="59" t="s">
        <v>181</v>
      </c>
      <c r="E66" s="58" t="str">
        <f>'HSE Checklist'!B78</f>
        <v>Realização de simulacro</v>
      </c>
      <c r="F66" s="67">
        <f>VLOOKUP(D66,Calc!A66:G173,7,FALSE)</f>
        <v>9.5238095238095247E-3</v>
      </c>
      <c r="G66" s="64" t="str">
        <f>Calc!$G$112</f>
        <v>EXCELENTE</v>
      </c>
    </row>
    <row r="67" spans="1:7" x14ac:dyDescent="0.2">
      <c r="A67" s="65">
        <f>Calc!$G$1</f>
        <v>45017</v>
      </c>
      <c r="B67" s="59">
        <v>4</v>
      </c>
      <c r="C67" s="62" t="str">
        <f t="shared" si="3"/>
        <v>Emergência</v>
      </c>
      <c r="D67" s="59" t="s">
        <v>182</v>
      </c>
      <c r="E67" s="58" t="str">
        <f>'HSE Checklist'!B79</f>
        <v>Caixa de primeiros socorros – existência</v>
      </c>
      <c r="F67" s="67">
        <f>VLOOKUP(D67,Calc!A67:G174,7,FALSE)</f>
        <v>9.5238095238095247E-3</v>
      </c>
      <c r="G67" s="64" t="str">
        <f>Calc!$G$112</f>
        <v>EXCELENTE</v>
      </c>
    </row>
    <row r="68" spans="1:7" x14ac:dyDescent="0.2">
      <c r="A68" s="65">
        <f>Calc!$G$1</f>
        <v>45017</v>
      </c>
      <c r="B68" s="59">
        <v>4</v>
      </c>
      <c r="C68" s="62" t="str">
        <f t="shared" si="3"/>
        <v>Emergência</v>
      </c>
      <c r="D68" s="59" t="s">
        <v>183</v>
      </c>
      <c r="E68" s="58" t="str">
        <f>'HSE Checklist'!B80</f>
        <v>Extintores – existência</v>
      </c>
      <c r="F68" s="67">
        <f>VLOOKUP(D68,Calc!A68:G175,7,FALSE)</f>
        <v>-9.5238095238095247E-3</v>
      </c>
      <c r="G68" s="64" t="str">
        <f>Calc!$G$112</f>
        <v>EXCELENTE</v>
      </c>
    </row>
    <row r="69" spans="1:7" x14ac:dyDescent="0.2">
      <c r="A69" s="65">
        <f>Calc!$G$1</f>
        <v>45017</v>
      </c>
      <c r="B69" s="59">
        <v>4</v>
      </c>
      <c r="C69" s="62" t="str">
        <f t="shared" si="3"/>
        <v>Emergência</v>
      </c>
      <c r="D69" s="59" t="s">
        <v>184</v>
      </c>
      <c r="E69" s="58" t="str">
        <f>'HSE Checklist'!B81</f>
        <v>Existência de sinalização de emergência</v>
      </c>
      <c r="F69" s="67">
        <f>VLOOKUP(D69,Calc!A69:G176,7,FALSE)</f>
        <v>9.5238095238095247E-3</v>
      </c>
      <c r="G69" s="64" t="str">
        <f>Calc!$G$112</f>
        <v>EXCELENTE</v>
      </c>
    </row>
    <row r="70" spans="1:7" x14ac:dyDescent="0.2">
      <c r="A70" s="65">
        <f>Calc!$G$1</f>
        <v>45017</v>
      </c>
      <c r="B70" s="59">
        <v>4</v>
      </c>
      <c r="C70" s="62" t="str">
        <f t="shared" si="3"/>
        <v>Emergência</v>
      </c>
      <c r="D70" s="59" t="s">
        <v>185</v>
      </c>
      <c r="E70" s="58" t="str">
        <f>'HSE Checklist'!B82</f>
        <v>Existência de maca em obra</v>
      </c>
      <c r="F70" s="67">
        <f>VLOOKUP(D70,Calc!A70:G177,7,FALSE)</f>
        <v>9.5238095238095247E-3</v>
      </c>
      <c r="G70" s="64" t="str">
        <f>Calc!$G$112</f>
        <v>EXCELENTE</v>
      </c>
    </row>
    <row r="71" spans="1:7" x14ac:dyDescent="0.2">
      <c r="A71" s="65">
        <f>Calc!$G$1</f>
        <v>45017</v>
      </c>
      <c r="B71" s="59">
        <v>4</v>
      </c>
      <c r="C71" s="62" t="str">
        <f t="shared" si="3"/>
        <v>Emergência</v>
      </c>
      <c r="D71" s="59" t="s">
        <v>186</v>
      </c>
      <c r="E71" s="58" t="str">
        <f>'HSE Checklist'!B83</f>
        <v>Contactos de emergência afixados e visíveis</v>
      </c>
      <c r="F71" s="67">
        <f>VLOOKUP(D71,Calc!A71:G178,7,FALSE)</f>
        <v>9.5238095238095247E-3</v>
      </c>
      <c r="G71" s="64" t="str">
        <f>Calc!$G$112</f>
        <v>EXCELENTE</v>
      </c>
    </row>
    <row r="72" spans="1:7" x14ac:dyDescent="0.2">
      <c r="A72" s="65">
        <f>Calc!$G$1</f>
        <v>45017</v>
      </c>
      <c r="B72" s="59">
        <v>4</v>
      </c>
      <c r="C72" s="62" t="str">
        <f t="shared" si="3"/>
        <v>Emergência</v>
      </c>
      <c r="D72" s="59" t="s">
        <v>187</v>
      </c>
      <c r="E72" s="58" t="str">
        <f>'HSE Checklist'!B84</f>
        <v>Definição das clínicas e/ou hospitais para emergência</v>
      </c>
      <c r="F72" s="67">
        <f>VLOOKUP(D72,Calc!A72:G179,7,FALSE)</f>
        <v>9.5238095238095247E-3</v>
      </c>
      <c r="G72" s="64" t="str">
        <f>Calc!$G$112</f>
        <v>EXCELENTE</v>
      </c>
    </row>
    <row r="73" spans="1:7" x14ac:dyDescent="0.2">
      <c r="A73" s="65">
        <f>Calc!$G$1</f>
        <v>45017</v>
      </c>
      <c r="B73" s="59">
        <v>4</v>
      </c>
      <c r="C73" s="62" t="str">
        <f t="shared" si="3"/>
        <v>Emergência</v>
      </c>
      <c r="D73" s="59" t="s">
        <v>188</v>
      </c>
      <c r="E73" s="58" t="str">
        <f>'HSE Checklist'!B85</f>
        <v>Existência de viatura disponível</v>
      </c>
      <c r="F73" s="67">
        <f>VLOOKUP(D73,Calc!A73:G180,7,FALSE)</f>
        <v>9.5238095238095247E-3</v>
      </c>
      <c r="G73" s="64" t="str">
        <f>Calc!$G$112</f>
        <v>EXCELENTE</v>
      </c>
    </row>
    <row r="74" spans="1:7" x14ac:dyDescent="0.2">
      <c r="A74" s="65">
        <f>Calc!$G$1</f>
        <v>45017</v>
      </c>
      <c r="B74" s="59">
        <v>5</v>
      </c>
      <c r="C74" s="62" t="str">
        <f>'HSE Checklist'!B86</f>
        <v>Inspecções</v>
      </c>
      <c r="D74" s="59" t="s">
        <v>189</v>
      </c>
      <c r="E74" s="58" t="str">
        <f>'HSE Checklist'!B87</f>
        <v>Andaimes – inspecção inicial e semanal</v>
      </c>
      <c r="F74" s="67">
        <f>VLOOKUP(D74,Calc!A74:G181,7,FALSE)</f>
        <v>9.5238095238095247E-3</v>
      </c>
      <c r="G74" s="64" t="str">
        <f>Calc!$G$112</f>
        <v>EXCELENTE</v>
      </c>
    </row>
    <row r="75" spans="1:7" x14ac:dyDescent="0.2">
      <c r="A75" s="65">
        <f>Calc!$G$1</f>
        <v>45017</v>
      </c>
      <c r="B75" s="59">
        <v>5</v>
      </c>
      <c r="C75" s="62" t="str">
        <f>$C$74</f>
        <v>Inspecções</v>
      </c>
      <c r="D75" s="59" t="s">
        <v>190</v>
      </c>
      <c r="E75" s="58" t="str">
        <f>'HSE Checklist'!B88</f>
        <v>Caixa de primeiros socorros – inspecção inicial e mensal</v>
      </c>
      <c r="F75" s="67">
        <f>VLOOKUP(D75,Calc!A75:G182,7,FALSE)</f>
        <v>9.5238095238095247E-3</v>
      </c>
      <c r="G75" s="64" t="str">
        <f>Calc!$G$112</f>
        <v>EXCELENTE</v>
      </c>
    </row>
    <row r="76" spans="1:7" x14ac:dyDescent="0.2">
      <c r="A76" s="65">
        <f>Calc!$G$1</f>
        <v>45017</v>
      </c>
      <c r="B76" s="59">
        <v>5</v>
      </c>
      <c r="C76" s="62" t="str">
        <f t="shared" ref="C76:C79" si="4">$C$74</f>
        <v>Inspecções</v>
      </c>
      <c r="D76" s="59" t="s">
        <v>191</v>
      </c>
      <c r="E76" s="58" t="str">
        <f>'HSE Checklist'!B89</f>
        <v>Extintores – inspecção inicial e mensal</v>
      </c>
      <c r="F76" s="67">
        <f>VLOOKUP(D76,Calc!A76:G183,7,FALSE)</f>
        <v>9.5238095238095247E-3</v>
      </c>
      <c r="G76" s="64" t="str">
        <f>Calc!$G$112</f>
        <v>EXCELENTE</v>
      </c>
    </row>
    <row r="77" spans="1:7" x14ac:dyDescent="0.2">
      <c r="A77" s="65">
        <f>Calc!$G$1</f>
        <v>45017</v>
      </c>
      <c r="B77" s="59">
        <v>5</v>
      </c>
      <c r="C77" s="62" t="str">
        <f t="shared" si="4"/>
        <v>Inspecções</v>
      </c>
      <c r="D77" s="59" t="s">
        <v>192</v>
      </c>
      <c r="E77" s="58" t="str">
        <f>'HSE Checklist'!B90</f>
        <v>Quadros eléctricos – inspecção inicial e mensal</v>
      </c>
      <c r="F77" s="67">
        <f>VLOOKUP(D77,Calc!A77:G184,7,FALSE)</f>
        <v>9.5238095238095247E-3</v>
      </c>
      <c r="G77" s="64" t="str">
        <f>Calc!$G$112</f>
        <v>EXCELENTE</v>
      </c>
    </row>
    <row r="78" spans="1:7" x14ac:dyDescent="0.2">
      <c r="A78" s="65">
        <f>Calc!$G$1</f>
        <v>45017</v>
      </c>
      <c r="B78" s="59">
        <v>5</v>
      </c>
      <c r="C78" s="62" t="str">
        <f t="shared" si="4"/>
        <v>Inspecções</v>
      </c>
      <c r="D78" s="59" t="s">
        <v>193</v>
      </c>
      <c r="E78" s="58" t="str">
        <f>'HSE Checklist'!B91</f>
        <v>Ferramentas e material eléctrico (código de cores) – inspecção inicial e mensal</v>
      </c>
      <c r="F78" s="67">
        <f>VLOOKUP(D78,Calc!A78:G185,7,FALSE)</f>
        <v>9.5238095238095247E-3</v>
      </c>
      <c r="G78" s="64" t="str">
        <f>Calc!$G$112</f>
        <v>EXCELENTE</v>
      </c>
    </row>
    <row r="79" spans="1:7" x14ac:dyDescent="0.2">
      <c r="A79" s="65">
        <f>Calc!$G$1</f>
        <v>45017</v>
      </c>
      <c r="B79" s="59">
        <v>5</v>
      </c>
      <c r="C79" s="62" t="str">
        <f t="shared" si="4"/>
        <v>Inspecções</v>
      </c>
      <c r="D79" s="59" t="s">
        <v>194</v>
      </c>
      <c r="E79" s="58" t="str">
        <f>'HSE Checklist'!B92</f>
        <v>Verificação dos equipamentos pesados</v>
      </c>
      <c r="F79" s="67">
        <f>VLOOKUP(D79,Calc!A79:G186,7,FALSE)</f>
        <v>9.5238095238095247E-3</v>
      </c>
      <c r="G79" s="64" t="str">
        <f>Calc!$G$112</f>
        <v>EXCELENTE</v>
      </c>
    </row>
    <row r="80" spans="1:7" x14ac:dyDescent="0.2">
      <c r="A80" s="65">
        <f>Calc!$G$1</f>
        <v>45017</v>
      </c>
      <c r="B80" s="59" t="s">
        <v>227</v>
      </c>
      <c r="C80" s="62" t="str">
        <f>'HSE Checklist'!B93</f>
        <v>Instalações Sociais</v>
      </c>
      <c r="D80" s="59" t="s">
        <v>195</v>
      </c>
      <c r="E80" s="58" t="str">
        <f>'HSE Checklist'!B94</f>
        <v>Área dos vestiários = 1,5 – (n.º de trabalhadores / 1000)</v>
      </c>
      <c r="F80" s="67">
        <f>VLOOKUP(D80,Calc!A80:G187,7,FALSE)</f>
        <v>9.5238095238095247E-3</v>
      </c>
      <c r="G80" s="64" t="str">
        <f>Calc!$G$112</f>
        <v>EXCELENTE</v>
      </c>
    </row>
    <row r="81" spans="1:7" x14ac:dyDescent="0.2">
      <c r="A81" s="65">
        <f>Calc!$G$1</f>
        <v>45017</v>
      </c>
      <c r="B81" s="59" t="s">
        <v>227</v>
      </c>
      <c r="C81" s="62" t="str">
        <f>$C$80</f>
        <v>Instalações Sociais</v>
      </c>
      <c r="D81" s="59" t="s">
        <v>196</v>
      </c>
      <c r="E81" s="58" t="str">
        <f>'HSE Checklist'!B95</f>
        <v>Cabides e bancos corridos em número suficiente</v>
      </c>
      <c r="F81" s="67">
        <f>VLOOKUP(D81,Calc!A81:G188,7,FALSE)</f>
        <v>9.5238095238095247E-3</v>
      </c>
      <c r="G81" s="64" t="str">
        <f>Calc!$G$112</f>
        <v>EXCELENTE</v>
      </c>
    </row>
    <row r="82" spans="1:7" x14ac:dyDescent="0.2">
      <c r="A82" s="65">
        <f>Calc!$G$1</f>
        <v>45017</v>
      </c>
      <c r="B82" s="59" t="s">
        <v>227</v>
      </c>
      <c r="C82" s="62" t="str">
        <f t="shared" ref="C82:C88" si="5">$C$80</f>
        <v>Instalações Sociais</v>
      </c>
      <c r="D82" s="59" t="s">
        <v>197</v>
      </c>
      <c r="E82" s="58" t="str">
        <f>'HSE Checklist'!B96</f>
        <v>Chuveiros em número suficiente (1 por 20 trabalhadores)</v>
      </c>
      <c r="F82" s="67">
        <f>VLOOKUP(D82,Calc!A82:G189,7,FALSE)</f>
        <v>9.5238095238095247E-3</v>
      </c>
      <c r="G82" s="64" t="str">
        <f>Calc!$G$112</f>
        <v>EXCELENTE</v>
      </c>
    </row>
    <row r="83" spans="1:7" x14ac:dyDescent="0.2">
      <c r="A83" s="65">
        <f>Calc!$G$1</f>
        <v>45017</v>
      </c>
      <c r="B83" s="59" t="s">
        <v>227</v>
      </c>
      <c r="C83" s="62" t="str">
        <f t="shared" si="5"/>
        <v>Instalações Sociais</v>
      </c>
      <c r="D83" s="59" t="s">
        <v>198</v>
      </c>
      <c r="E83" s="58" t="str">
        <f>'HSE Checklist'!B97</f>
        <v>Sanitas em número suficiente (1 por cada 25 trabalhadores)</v>
      </c>
      <c r="F83" s="67">
        <f>VLOOKUP(D83,Calc!A83:G190,7,FALSE)</f>
        <v>9.5238095238095247E-3</v>
      </c>
      <c r="G83" s="64" t="str">
        <f>Calc!$G$112</f>
        <v>EXCELENTE</v>
      </c>
    </row>
    <row r="84" spans="1:7" x14ac:dyDescent="0.2">
      <c r="A84" s="65">
        <f>Calc!$G$1</f>
        <v>45017</v>
      </c>
      <c r="B84" s="59" t="s">
        <v>227</v>
      </c>
      <c r="C84" s="62" t="str">
        <f t="shared" si="5"/>
        <v>Instalações Sociais</v>
      </c>
      <c r="D84" s="59" t="s">
        <v>199</v>
      </c>
      <c r="E84" s="58" t="str">
        <f>'HSE Checklist'!B98</f>
        <v>Lavatórios em número suficiente (1 por cada 20 trabalhadores)</v>
      </c>
      <c r="F84" s="67">
        <f>VLOOKUP(D84,Calc!A84:G191,7,FALSE)</f>
        <v>9.5238095238095247E-3</v>
      </c>
      <c r="G84" s="64" t="str">
        <f>Calc!$G$112</f>
        <v>EXCELENTE</v>
      </c>
    </row>
    <row r="85" spans="1:7" x14ac:dyDescent="0.2">
      <c r="A85" s="65">
        <f>Calc!$G$1</f>
        <v>45017</v>
      </c>
      <c r="B85" s="59" t="s">
        <v>227</v>
      </c>
      <c r="C85" s="62" t="str">
        <f t="shared" si="5"/>
        <v>Instalações Sociais</v>
      </c>
      <c r="D85" s="59" t="s">
        <v>200</v>
      </c>
      <c r="E85" s="58" t="str">
        <f>'HSE Checklist'!B99</f>
        <v>Refeitório com capacidade para a totalidade de trabalhadores que almoçam em obra</v>
      </c>
      <c r="F85" s="67">
        <f>VLOOKUP(D85,Calc!A85:G192,7,FALSE)</f>
        <v>9.5238095238095247E-3</v>
      </c>
      <c r="G85" s="64" t="str">
        <f>Calc!$G$112</f>
        <v>EXCELENTE</v>
      </c>
    </row>
    <row r="86" spans="1:7" x14ac:dyDescent="0.2">
      <c r="A86" s="65">
        <f>Calc!$G$1</f>
        <v>45017</v>
      </c>
      <c r="B86" s="59" t="s">
        <v>227</v>
      </c>
      <c r="C86" s="62" t="str">
        <f t="shared" si="5"/>
        <v>Instalações Sociais</v>
      </c>
      <c r="D86" s="59" t="s">
        <v>201</v>
      </c>
      <c r="E86" s="58" t="str">
        <f>'HSE Checklist'!B100</f>
        <v>Mesas do refeitório forradas com material plástico</v>
      </c>
      <c r="F86" s="67">
        <f>VLOOKUP(D86,Calc!A86:G193,7,FALSE)</f>
        <v>9.5238095238095247E-3</v>
      </c>
      <c r="G86" s="64" t="str">
        <f>Calc!$G$112</f>
        <v>EXCELENTE</v>
      </c>
    </row>
    <row r="87" spans="1:7" x14ac:dyDescent="0.2">
      <c r="A87" s="65">
        <f>Calc!$G$1</f>
        <v>45017</v>
      </c>
      <c r="B87" s="59" t="s">
        <v>227</v>
      </c>
      <c r="C87" s="62" t="str">
        <f t="shared" si="5"/>
        <v>Instalações Sociais</v>
      </c>
      <c r="D87" s="59" t="s">
        <v>202</v>
      </c>
      <c r="E87" s="58" t="str">
        <f>'HSE Checklist'!B101</f>
        <v>Identificação das instalações sociais</v>
      </c>
      <c r="F87" s="67">
        <f>VLOOKUP(D87,Calc!A87:G194,7,FALSE)</f>
        <v>9.5238095238095247E-3</v>
      </c>
      <c r="G87" s="64" t="str">
        <f>Calc!$G$112</f>
        <v>EXCELENTE</v>
      </c>
    </row>
    <row r="88" spans="1:7" x14ac:dyDescent="0.2">
      <c r="A88" s="65">
        <f>Calc!$G$1</f>
        <v>45017</v>
      </c>
      <c r="B88" s="59" t="s">
        <v>227</v>
      </c>
      <c r="C88" s="62" t="str">
        <f t="shared" si="5"/>
        <v>Instalações Sociais</v>
      </c>
      <c r="D88" s="59" t="s">
        <v>203</v>
      </c>
      <c r="E88" s="58" t="str">
        <f>'HSE Checklist'!B102</f>
        <v>Limpeza das instalações sociais com respectivo registo</v>
      </c>
      <c r="F88" s="67">
        <f>VLOOKUP(D88,Calc!A88:G195,7,FALSE)</f>
        <v>9.5238095238095247E-3</v>
      </c>
      <c r="G88" s="64" t="str">
        <f>Calc!$G$112</f>
        <v>EXCELENTE</v>
      </c>
    </row>
    <row r="89" spans="1:7" x14ac:dyDescent="0.2">
      <c r="A89" s="65">
        <f>Calc!$G$1</f>
        <v>45017</v>
      </c>
      <c r="B89" s="59">
        <v>7</v>
      </c>
      <c r="C89" s="62" t="str">
        <f>'HSE Checklist'!$B$103</f>
        <v>Frentes de Obra</v>
      </c>
      <c r="D89" s="59" t="s">
        <v>204</v>
      </c>
      <c r="E89" s="58" t="str">
        <f>'HSE Checklist'!B104</f>
        <v>Limpeza e arrumação das frentes de obra</v>
      </c>
      <c r="F89" s="67">
        <f>VLOOKUP(D89,Calc!A89:G196,7,FALSE)</f>
        <v>9.5238095238095247E-3</v>
      </c>
      <c r="G89" s="64" t="str">
        <f>Calc!$G$112</f>
        <v>EXCELENTE</v>
      </c>
    </row>
    <row r="90" spans="1:7" x14ac:dyDescent="0.2">
      <c r="A90" s="65">
        <f>Calc!$G$1</f>
        <v>45017</v>
      </c>
      <c r="B90" s="59">
        <v>7</v>
      </c>
      <c r="C90" s="62" t="str">
        <f>'HSE Checklist'!$B$103</f>
        <v>Frentes de Obra</v>
      </c>
      <c r="D90" s="59" t="s">
        <v>205</v>
      </c>
      <c r="E90" s="58" t="str">
        <f>'HSE Checklist'!B105</f>
        <v>Utilização de EPIs obrigatórios</v>
      </c>
      <c r="F90" s="67">
        <f>VLOOKUP(D90,Calc!A90:G197,7,FALSE)</f>
        <v>9.5238095238095247E-3</v>
      </c>
      <c r="G90" s="64" t="str">
        <f>Calc!$G$112</f>
        <v>EXCELENTE</v>
      </c>
    </row>
    <row r="91" spans="1:7" x14ac:dyDescent="0.2">
      <c r="A91" s="65">
        <f>Calc!$G$1</f>
        <v>45017</v>
      </c>
      <c r="B91" s="59">
        <v>7</v>
      </c>
      <c r="C91" s="62" t="str">
        <f>'HSE Checklist'!$B$103</f>
        <v>Frentes de Obra</v>
      </c>
      <c r="D91" s="59" t="s">
        <v>206</v>
      </c>
      <c r="E91" s="58" t="str">
        <f>'HSE Checklist'!B106</f>
        <v>Utilização de EPIs pontuais</v>
      </c>
      <c r="F91" s="67">
        <f>VLOOKUP(D91,Calc!A91:G198,7,FALSE)</f>
        <v>9.5238095238095247E-3</v>
      </c>
      <c r="G91" s="64" t="str">
        <f>Calc!$G$112</f>
        <v>EXCELENTE</v>
      </c>
    </row>
    <row r="92" spans="1:7" x14ac:dyDescent="0.2">
      <c r="A92" s="65">
        <f>Calc!$G$1</f>
        <v>45017</v>
      </c>
      <c r="B92" s="59">
        <v>7</v>
      </c>
      <c r="C92" s="62" t="str">
        <f>'HSE Checklist'!$B$103</f>
        <v>Frentes de Obra</v>
      </c>
      <c r="D92" s="59" t="s">
        <v>207</v>
      </c>
      <c r="E92" s="58" t="str">
        <f>'HSE Checklist'!B107</f>
        <v>Protecção colectiva (escadas, lajes, negativos, escavações, etc)</v>
      </c>
      <c r="F92" s="67">
        <f>VLOOKUP(D92,Calc!A92:G199,7,FALSE)</f>
        <v>9.5238095238095247E-3</v>
      </c>
      <c r="G92" s="64" t="str">
        <f>Calc!$G$112</f>
        <v>EXCELENTE</v>
      </c>
    </row>
    <row r="93" spans="1:7" x14ac:dyDescent="0.2">
      <c r="A93" s="65">
        <f>Calc!$G$1</f>
        <v>45017</v>
      </c>
      <c r="B93" s="59">
        <v>7</v>
      </c>
      <c r="C93" s="62" t="str">
        <f>'HSE Checklist'!$B$103</f>
        <v>Frentes de Obra</v>
      </c>
      <c r="D93" s="59" t="s">
        <v>208</v>
      </c>
      <c r="E93" s="58" t="str">
        <f>'HSE Checklist'!B108</f>
        <v>Andaimes interiores</v>
      </c>
      <c r="F93" s="67">
        <f>VLOOKUP(D93,Calc!A93:G200,7,FALSE)</f>
        <v>9.5238095238095247E-3</v>
      </c>
      <c r="G93" s="64" t="str">
        <f>Calc!$G$112</f>
        <v>EXCELENTE</v>
      </c>
    </row>
    <row r="94" spans="1:7" x14ac:dyDescent="0.2">
      <c r="A94" s="65">
        <f>Calc!$G$1</f>
        <v>45017</v>
      </c>
      <c r="B94" s="59">
        <v>7</v>
      </c>
      <c r="C94" s="62" t="str">
        <f>'HSE Checklist'!$B$103</f>
        <v>Frentes de Obra</v>
      </c>
      <c r="D94" s="59" t="s">
        <v>209</v>
      </c>
      <c r="E94" s="58" t="str">
        <f>'HSE Checklist'!B109</f>
        <v>Iluminação das frentes de obra</v>
      </c>
      <c r="F94" s="67">
        <f>VLOOKUP(D94,Calc!A94:G201,7,FALSE)</f>
        <v>9.5238095238095247E-3</v>
      </c>
      <c r="G94" s="64" t="str">
        <f>Calc!$G$112</f>
        <v>EXCELENTE</v>
      </c>
    </row>
    <row r="95" spans="1:7" x14ac:dyDescent="0.2">
      <c r="A95" s="65">
        <f>Calc!$G$1</f>
        <v>45017</v>
      </c>
      <c r="B95" s="59">
        <v>7</v>
      </c>
      <c r="C95" s="62" t="str">
        <f>'HSE Checklist'!$B$103</f>
        <v>Frentes de Obra</v>
      </c>
      <c r="D95" s="59" t="s">
        <v>210</v>
      </c>
      <c r="E95" s="58" t="str">
        <f>'HSE Checklist'!B110</f>
        <v>Ensaio de linha de vida</v>
      </c>
      <c r="F95" s="67">
        <f>VLOOKUP(D95,Calc!A95:G202,7,FALSE)</f>
        <v>9.5238095238095247E-3</v>
      </c>
      <c r="G95" s="64" t="str">
        <f>Calc!$G$112</f>
        <v>EXCELENTE</v>
      </c>
    </row>
    <row r="96" spans="1:7" x14ac:dyDescent="0.2">
      <c r="A96" s="65">
        <f>Calc!$G$1</f>
        <v>45017</v>
      </c>
      <c r="B96" s="59">
        <v>7</v>
      </c>
      <c r="C96" s="62" t="str">
        <f>'HSE Checklist'!$B$103</f>
        <v>Frentes de Obra</v>
      </c>
      <c r="D96" s="59" t="s">
        <v>211</v>
      </c>
      <c r="E96" s="58" t="str">
        <f>'HSE Checklist'!B111</f>
        <v>Identificação das frentes de obra (estaleiros temporários, escadas, blocos, pisos, etc)</v>
      </c>
      <c r="F96" s="67">
        <f>VLOOKUP(D96,Calc!A96:G203,7,FALSE)</f>
        <v>9.5238095238095247E-3</v>
      </c>
      <c r="G96" s="64" t="str">
        <f>Calc!$G$112</f>
        <v>EXCELENTE</v>
      </c>
    </row>
    <row r="97" spans="1:7" x14ac:dyDescent="0.2">
      <c r="A97" s="65">
        <f>Calc!$G$1</f>
        <v>45017</v>
      </c>
      <c r="B97" s="59">
        <v>8</v>
      </c>
      <c r="C97" s="62" t="str">
        <f>'HSE Checklist'!$B$112</f>
        <v>Ambiente</v>
      </c>
      <c r="D97" s="59" t="s">
        <v>212</v>
      </c>
      <c r="E97" s="58" t="str">
        <f>'HSE Checklist'!B113</f>
        <v>Nível de separação e organização da zona de armazenamento de resíduos</v>
      </c>
      <c r="F97" s="67">
        <f>VLOOKUP(D97,Calc!A97:G204,7,FALSE)</f>
        <v>9.5238095238095247E-3</v>
      </c>
      <c r="G97" s="64" t="str">
        <f>Calc!$G$112</f>
        <v>EXCELENTE</v>
      </c>
    </row>
    <row r="98" spans="1:7" x14ac:dyDescent="0.2">
      <c r="A98" s="65">
        <f>Calc!$G$1</f>
        <v>45017</v>
      </c>
      <c r="B98" s="59">
        <v>8</v>
      </c>
      <c r="C98" s="62" t="str">
        <f>'HSE Checklist'!$B$112</f>
        <v>Ambiente</v>
      </c>
      <c r="D98" s="59" t="s">
        <v>213</v>
      </c>
      <c r="E98" s="58" t="str">
        <f>'HSE Checklist'!B114</f>
        <v>Existência de caixotes do lixo e limpeza atempada dos mesmos</v>
      </c>
      <c r="F98" s="67">
        <f>VLOOKUP(D98,Calc!A98:G205,7,FALSE)</f>
        <v>9.5238095238095247E-3</v>
      </c>
      <c r="G98" s="64" t="str">
        <f>Calc!$G$112</f>
        <v>EXCELENTE</v>
      </c>
    </row>
    <row r="99" spans="1:7" x14ac:dyDescent="0.2">
      <c r="A99" s="65">
        <f>Calc!$G$1</f>
        <v>45017</v>
      </c>
      <c r="B99" s="59">
        <v>8</v>
      </c>
      <c r="C99" s="62" t="str">
        <f>'HSE Checklist'!$B$112</f>
        <v>Ambiente</v>
      </c>
      <c r="D99" s="59" t="s">
        <v>214</v>
      </c>
      <c r="E99" s="58" t="str">
        <f>'HSE Checklist'!B115</f>
        <v>Monitorização de consumos ambientais</v>
      </c>
      <c r="F99" s="67">
        <f>VLOOKUP(D99,Calc!A99:G206,7,FALSE)</f>
        <v>9.5238095238095247E-3</v>
      </c>
      <c r="G99" s="64" t="str">
        <f>Calc!$G$112</f>
        <v>EXCELENTE</v>
      </c>
    </row>
    <row r="100" spans="1:7" x14ac:dyDescent="0.2">
      <c r="A100" s="65">
        <f>Calc!$G$1</f>
        <v>45017</v>
      </c>
      <c r="B100" s="59">
        <v>8</v>
      </c>
      <c r="C100" s="62" t="str">
        <f>'HSE Checklist'!$B$112</f>
        <v>Ambiente</v>
      </c>
      <c r="D100" s="59" t="s">
        <v>215</v>
      </c>
      <c r="E100" s="58" t="str">
        <f>'HSE Checklist'!B116</f>
        <v>Monitorização da produção de resíduos</v>
      </c>
      <c r="F100" s="67">
        <f>VLOOKUP(D100,Calc!A100:G207,7,FALSE)</f>
        <v>9.5238095238095247E-3</v>
      </c>
      <c r="G100" s="64" t="str">
        <f>Calc!$G$112</f>
        <v>EXCELENTE</v>
      </c>
    </row>
    <row r="101" spans="1:7" x14ac:dyDescent="0.2">
      <c r="A101" s="65">
        <f>Calc!$G$1</f>
        <v>45017</v>
      </c>
      <c r="B101" s="59">
        <v>8</v>
      </c>
      <c r="C101" s="62" t="str">
        <f>'HSE Checklist'!$B$112</f>
        <v>Ambiente</v>
      </c>
      <c r="D101" s="59" t="s">
        <v>216</v>
      </c>
      <c r="E101" s="58" t="str">
        <f>'HSE Checklist'!B117</f>
        <v>Monitorização trimestral de gases, partículas e ruído</v>
      </c>
      <c r="F101" s="67">
        <f>VLOOKUP(D101,Calc!A101:G208,7,FALSE)</f>
        <v>9.5238095238095247E-3</v>
      </c>
      <c r="G101" s="64" t="str">
        <f>Calc!$G$112</f>
        <v>EXCELENTE</v>
      </c>
    </row>
    <row r="102" spans="1:7" x14ac:dyDescent="0.2">
      <c r="A102" s="65">
        <f>Calc!$G$1</f>
        <v>45017</v>
      </c>
      <c r="B102" s="59">
        <v>8</v>
      </c>
      <c r="C102" s="62" t="str">
        <f>'HSE Checklist'!$B$112</f>
        <v>Ambiente</v>
      </c>
      <c r="D102" s="59" t="s">
        <v>217</v>
      </c>
      <c r="E102" s="58" t="str">
        <f>'HSE Checklist'!B118</f>
        <v>Geradores e outros equipamentos com risco de derrame com bacia de retenção</v>
      </c>
      <c r="F102" s="67">
        <f>VLOOKUP(D102,Calc!A102:G209,7,FALSE)</f>
        <v>9.5238095238095247E-3</v>
      </c>
      <c r="G102" s="64" t="str">
        <f>Calc!$G$112</f>
        <v>EXCELENTE</v>
      </c>
    </row>
    <row r="103" spans="1:7" x14ac:dyDescent="0.2">
      <c r="A103" s="65">
        <f>Calc!$G$1</f>
        <v>45017</v>
      </c>
      <c r="B103" s="59">
        <v>8</v>
      </c>
      <c r="C103" s="62" t="str">
        <f>'HSE Checklist'!$B$112</f>
        <v>Ambiente</v>
      </c>
      <c r="D103" s="59" t="s">
        <v>217</v>
      </c>
      <c r="E103" s="58" t="str">
        <f>'HSE Checklist'!B119</f>
        <v>Kit de contenção de derrames</v>
      </c>
      <c r="F103" s="67">
        <f>VLOOKUP(D103,Calc!A103:G210,7,FALSE)</f>
        <v>9.5238095238095247E-3</v>
      </c>
      <c r="G103" s="64" t="str">
        <f>Calc!$G$112</f>
        <v>EXCELENTE</v>
      </c>
    </row>
    <row r="104" spans="1:7" x14ac:dyDescent="0.2">
      <c r="A104" s="65">
        <f>Calc!$G$1</f>
        <v>45017</v>
      </c>
      <c r="B104" s="59">
        <v>8</v>
      </c>
      <c r="C104" s="62" t="str">
        <f>'HSE Checklist'!$B$112</f>
        <v>Ambiente</v>
      </c>
      <c r="D104" s="59" t="s">
        <v>218</v>
      </c>
      <c r="E104" s="58" t="str">
        <f>'HSE Checklist'!B120</f>
        <v>Existência e manutenção de lava-rodados</v>
      </c>
      <c r="F104" s="67">
        <f>VLOOKUP(D104,Calc!A104:G211,7,FALSE)</f>
        <v>9.5238095238095247E-3</v>
      </c>
      <c r="G104" s="64" t="str">
        <f>Calc!$G$112</f>
        <v>EXCELENTE</v>
      </c>
    </row>
    <row r="105" spans="1:7" x14ac:dyDescent="0.2">
      <c r="A105" s="65">
        <f>Calc!$G$1</f>
        <v>45017</v>
      </c>
      <c r="B105" s="59">
        <v>8</v>
      </c>
      <c r="C105" s="62" t="str">
        <f>'HSE Checklist'!$B$112</f>
        <v>Ambiente</v>
      </c>
      <c r="D105" s="59" t="s">
        <v>219</v>
      </c>
      <c r="E105" s="58" t="str">
        <f>'HSE Checklist'!B121</f>
        <v>Existência e manutenção da bacia de lavagem dos camiões de betão</v>
      </c>
      <c r="F105" s="67">
        <f>VLOOKUP(D105,Calc!A105:G212,7,FALSE)</f>
        <v>9.5238095238095247E-3</v>
      </c>
      <c r="G105" s="64" t="str">
        <f>Calc!$G$112</f>
        <v>EXCELENTE</v>
      </c>
    </row>
    <row r="106" spans="1:7" x14ac:dyDescent="0.2">
      <c r="A106" s="65">
        <f>Calc!$G$1</f>
        <v>45017</v>
      </c>
      <c r="B106" s="59">
        <v>8</v>
      </c>
      <c r="C106" s="62" t="str">
        <f>'HSE Checklist'!$B$112</f>
        <v>Ambiente</v>
      </c>
      <c r="D106" s="59" t="s">
        <v>265</v>
      </c>
      <c r="E106" s="58" t="str">
        <f>'HSE Checklist'!B122</f>
        <v>Definição de empresa de gestão de resíduos perigosos</v>
      </c>
      <c r="F106" s="67">
        <f>VLOOKUP(D106,Calc!A106:G213,7,FALSE)</f>
        <v>9.5238095238095247E-3</v>
      </c>
      <c r="G106" s="64" t="str">
        <f>Calc!$G$112</f>
        <v>EXCELENTE</v>
      </c>
    </row>
    <row r="107" spans="1:7" x14ac:dyDescent="0.2">
      <c r="A107" s="65">
        <f>Calc!$G$1</f>
        <v>45017</v>
      </c>
      <c r="B107" s="59">
        <v>8</v>
      </c>
      <c r="C107" s="62" t="str">
        <f>'HSE Checklist'!$B$112</f>
        <v>Ambiente</v>
      </c>
      <c r="D107" s="59" t="s">
        <v>266</v>
      </c>
      <c r="E107" s="58" t="str">
        <f>'HSE Checklist'!B123</f>
        <v>Definição de empresa de gestão de resíduos não perigosos</v>
      </c>
      <c r="F107" s="67">
        <f>VLOOKUP(D107,Calc!A107:G214,7,FALSE)</f>
        <v>9.5238095238095247E-3</v>
      </c>
      <c r="G107" s="64" t="str">
        <f>Calc!$G$112</f>
        <v>EXCELENTE</v>
      </c>
    </row>
    <row r="108" spans="1:7" x14ac:dyDescent="0.2">
      <c r="A108" s="65">
        <f>Calc!$G$1</f>
        <v>45017</v>
      </c>
      <c r="B108" s="59">
        <v>8</v>
      </c>
      <c r="C108" s="62" t="str">
        <f>'HSE Checklist'!$B$112</f>
        <v>Ambiente</v>
      </c>
      <c r="D108" s="59" t="s">
        <v>267</v>
      </c>
      <c r="E108" s="58" t="str">
        <f>'HSE Checklist'!B124</f>
        <v>Definição de empresa de gestão de águas residuais</v>
      </c>
      <c r="F108" s="67">
        <f>VLOOKUP(D108,Calc!A108:G215,7,FALSE)</f>
        <v>9.5238095238095247E-3</v>
      </c>
      <c r="G108" s="64" t="str">
        <f>Calc!$G$112</f>
        <v>EXCELENTE</v>
      </c>
    </row>
    <row r="109" spans="1:7" x14ac:dyDescent="0.2">
      <c r="A109" s="65">
        <f>Calc!$G$1</f>
        <v>45017</v>
      </c>
      <c r="B109" s="59">
        <v>8</v>
      </c>
      <c r="C109" s="62" t="str">
        <f>'HSE Checklist'!$B$112</f>
        <v>Ambiente</v>
      </c>
      <c r="D109" s="59" t="s">
        <v>276</v>
      </c>
      <c r="E109" s="58" t="str">
        <f>'HSE Checklist'!B125</f>
        <v>Ligação à rede pública de água</v>
      </c>
      <c r="F109" s="67">
        <f>VLOOKUP(D109,Calc!A109:G216,7,FALSE)</f>
        <v>9.5238095238095247E-3</v>
      </c>
      <c r="G109" s="64" t="str">
        <f>Calc!$G$112</f>
        <v>EXCELENTE</v>
      </c>
    </row>
    <row r="110" spans="1:7" x14ac:dyDescent="0.2">
      <c r="A110" s="65">
        <f>Calc!$G$1</f>
        <v>45017</v>
      </c>
      <c r="B110" s="59">
        <v>8</v>
      </c>
      <c r="C110" s="62" t="str">
        <f>'HSE Checklist'!$B$112</f>
        <v>Ambiente</v>
      </c>
      <c r="D110" s="59" t="s">
        <v>277</v>
      </c>
      <c r="E110" s="58" t="str">
        <f>'HSE Checklist'!B126</f>
        <v>Ligação à rede pública de eletricidade</v>
      </c>
      <c r="F110" s="67">
        <f>VLOOKUP(D110,Calc!A110:G217,7,FALSE)</f>
        <v>9.5238095238095247E-3</v>
      </c>
      <c r="G110" s="64" t="str">
        <f>Calc!$G$112</f>
        <v>EXCELENTE</v>
      </c>
    </row>
  </sheetData>
  <phoneticPr fontId="2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G2"/>
  <sheetViews>
    <sheetView showGridLines="0" zoomScaleNormal="100" workbookViewId="0">
      <pane ySplit="1" topLeftCell="A2" activePane="bottomLeft" state="frozen"/>
      <selection pane="bottomLeft" activeCell="B16" sqref="B16"/>
    </sheetView>
  </sheetViews>
  <sheetFormatPr defaultColWidth="8.85546875" defaultRowHeight="12.75" x14ac:dyDescent="0.2"/>
  <cols>
    <col min="1" max="1" width="11.28515625" style="44" bestFit="1" customWidth="1"/>
    <col min="2" max="2" width="12.7109375" bestFit="1" customWidth="1"/>
    <col min="3" max="3" width="67.85546875" style="56" bestFit="1" customWidth="1"/>
    <col min="4" max="4" width="7.7109375" style="13" bestFit="1" customWidth="1"/>
    <col min="5" max="5" width="121.85546875" bestFit="1" customWidth="1"/>
    <col min="6" max="6" width="16.28515625" bestFit="1" customWidth="1"/>
    <col min="7" max="7" width="30.85546875" bestFit="1" customWidth="1"/>
  </cols>
  <sheetData>
    <row r="1" spans="1:7" s="1" customFormat="1" ht="14.25" x14ac:dyDescent="0.2">
      <c r="A1" s="68" t="s">
        <v>221</v>
      </c>
      <c r="B1" s="69" t="s">
        <v>222</v>
      </c>
      <c r="C1" s="68" t="s">
        <v>223</v>
      </c>
      <c r="D1" s="81" t="s">
        <v>12</v>
      </c>
      <c r="E1" s="68" t="s">
        <v>224</v>
      </c>
      <c r="F1" s="70" t="s">
        <v>225</v>
      </c>
      <c r="G1" s="70" t="s">
        <v>226</v>
      </c>
    </row>
    <row r="2" spans="1:7" ht="14.25" x14ac:dyDescent="0.2">
      <c r="A2" s="73"/>
      <c r="B2" s="74"/>
      <c r="C2" s="75"/>
      <c r="D2" s="77"/>
      <c r="E2" s="75"/>
      <c r="F2" s="76"/>
      <c r="G2" s="77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5</vt:i4>
      </vt:variant>
      <vt:variant>
        <vt:lpstr>Intervalos com Nome</vt:lpstr>
      </vt:variant>
      <vt:variant>
        <vt:i4>2</vt:i4>
      </vt:variant>
    </vt:vector>
  </HeadingPairs>
  <TitlesOfParts>
    <vt:vector size="7" baseType="lpstr">
      <vt:lpstr>References</vt:lpstr>
      <vt:lpstr>HSE Checklist</vt:lpstr>
      <vt:lpstr>Calc</vt:lpstr>
      <vt:lpstr>Pre_database</vt:lpstr>
      <vt:lpstr>Database</vt:lpstr>
      <vt:lpstr>'HSE Checklist'!Área_de_Impressão</vt:lpstr>
      <vt:lpstr>'HSE Checklist'!Títulos_de_Impressão</vt:lpstr>
    </vt:vector>
  </TitlesOfParts>
  <Manager/>
  <Company>Vamed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JÚNIOR, José</dc:creator>
  <cp:keywords/>
  <dc:description/>
  <cp:lastModifiedBy>SANTOS, Faustino Eliseu</cp:lastModifiedBy>
  <cp:revision/>
  <cp:lastPrinted>2025-01-09T09:47:03Z</cp:lastPrinted>
  <dcterms:created xsi:type="dcterms:W3CDTF">2023-05-15T14:19:40Z</dcterms:created>
  <dcterms:modified xsi:type="dcterms:W3CDTF">2026-05-19T09:51:10Z</dcterms:modified>
  <cp:category/>
  <cp:contentStatus/>
</cp:coreProperties>
</file>